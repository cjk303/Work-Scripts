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xr:revisionPtr revIDLastSave="3" documentId="11_AEFF9D1EBB98679847CAE7A7378F8B01B28783E3" xr6:coauthVersionLast="47" xr6:coauthVersionMax="47" xr10:uidLastSave="{795960E1-D13B-4409-948B-53521C7F91C8}"/>
  <bookViews>
    <workbookView xWindow="0" yWindow="0" windowWidth="16384" windowHeight="8192" tabRatio="500" firstSheet="2" activeTab="3" xr2:uid="{00000000-000D-0000-FFFF-FFFF00000000}"/>
  </bookViews>
  <sheets>
    <sheet name="Overview" sheetId="1" r:id="rId1"/>
    <sheet name="Severity Breakdown" sheetId="2" r:id="rId2"/>
    <sheet name="AlmaLinux Patch" sheetId="3" r:id="rId3"/>
    <sheet name="Oracle Linux (OEL) Patch" sheetId="4" r:id="rId4"/>
    <sheet name="MongoDB Server Vulnerability" sheetId="5" r:id="rId5"/>
    <sheet name="Oracle MySQL CPU" sheetId="6" r:id="rId6"/>
    <sheet name="Windows-AD Hardening &amp; Config" sheetId="7" r:id="rId7"/>
    <sheet name="7-Zip" sheetId="8" r:id="rId8"/>
    <sheet name="Mozilla Firefox (Browser)" sheetId="9" r:id="rId9"/>
    <sheet name="Microsoft Windows-.NET Patch" sheetId="10" r:id="rId10"/>
    <sheet name="Ubuntu Patch" sheetId="11" r:id="rId11"/>
    <sheet name="EOL-Obsolete Software" sheetId="12" r:id="rId12"/>
    <sheet name="Oracle Java SE CPU" sheetId="13" r:id="rId13"/>
    <sheet name="Microsoft Edge (Browser)" sheetId="14" r:id="rId14"/>
    <sheet name="Node.js Vulnerability" sheetId="15" r:id="rId15"/>
    <sheet name="Elastic Stack" sheetId="16" r:id="rId16"/>
    <sheet name="Python Vulnerability" sheetId="17" r:id="rId17"/>
    <sheet name="Apache Log4j" sheetId="18" r:id="rId18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1" i="2" l="1"/>
  <c r="F21" i="2"/>
  <c r="E21" i="2"/>
  <c r="D21" i="2"/>
  <c r="C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21" i="2" s="1"/>
  <c r="D27" i="1"/>
  <c r="C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27" i="1" s="1"/>
</calcChain>
</file>

<file path=xl/sharedStrings.xml><?xml version="1.0" encoding="utf-8"?>
<sst xmlns="http://schemas.openxmlformats.org/spreadsheetml/2006/main" count="957" uniqueCount="769">
  <si>
    <t>Vulnerability Classification Report</t>
  </si>
  <si>
    <t>Source: VM_vulns_egsft3av2_20260903.csv  |  Generated: 03 Sep 2026</t>
  </si>
  <si>
    <t>Total Findings</t>
  </si>
  <si>
    <t>Unique Titles</t>
  </si>
  <si>
    <t>Total Detections</t>
  </si>
  <si>
    <t>Categories</t>
  </si>
  <si>
    <t>Category</t>
  </si>
  <si>
    <t>% of Detections</t>
  </si>
  <si>
    <t>AlmaLinux Patch</t>
  </si>
  <si>
    <t>Oracle Linux (OEL) Patch</t>
  </si>
  <si>
    <t>MongoDB Server Vulnerability</t>
  </si>
  <si>
    <t>Oracle MySQL CPU</t>
  </si>
  <si>
    <t>Windows/AD Hardening &amp; Config</t>
  </si>
  <si>
    <t>7-Zip</t>
  </si>
  <si>
    <t>Mozilla Firefox (Browser)</t>
  </si>
  <si>
    <t>Microsoft Windows/.NET Patch</t>
  </si>
  <si>
    <t>Ubuntu Patch</t>
  </si>
  <si>
    <t>EOL/Obsolete Software</t>
  </si>
  <si>
    <t>Oracle Java SE CPU</t>
  </si>
  <si>
    <t>Microsoft Edge (Browser)</t>
  </si>
  <si>
    <t>Node.js Vulnerability</t>
  </si>
  <si>
    <t>Elastic Stack</t>
  </si>
  <si>
    <t>Python Vulnerability</t>
  </si>
  <si>
    <t>Apache Log4j</t>
  </si>
  <si>
    <t>TOTAL</t>
  </si>
  <si>
    <t>Detections by Category and Severity</t>
  </si>
  <si>
    <t>Critical (5)</t>
  </si>
  <si>
    <t>High (4)</t>
  </si>
  <si>
    <t>Medium (3)</t>
  </si>
  <si>
    <t>Low (2)</t>
  </si>
  <si>
    <t>Minimal (1)</t>
  </si>
  <si>
    <t>Total</t>
  </si>
  <si>
    <t>109 findings | 1514 total detections</t>
  </si>
  <si>
    <t>QID</t>
  </si>
  <si>
    <t>Title</t>
  </si>
  <si>
    <t>CVE ID(s)</t>
  </si>
  <si>
    <t>Severity</t>
  </si>
  <si>
    <t>KB Severity</t>
  </si>
  <si>
    <t>QDS</t>
  </si>
  <si>
    <t>Detection Count</t>
  </si>
  <si>
    <t>AlmaLinux Security Update for glib2 (ALSA-2026:19361)</t>
  </si>
  <si>
    <t>CVE-2025-14087,CVE-2025-14512</t>
  </si>
  <si>
    <t>AlmaLinux Security Update for kernel (ALSA-2026:19568)</t>
  </si>
  <si>
    <t>CVE-2026-31607,CVE-2026-43284,CVE-2026-31402,CVE-2026-43163,CVE-2026-23270,CVE-2026-31532,CVE-2025-39766,CVE-2026-43128,CVE-2025-71116,CVE-2025-68741,CVE-2026-22984,CVE-2026-23204,CVE-2026-23401,CVE-2026-23136,CVE-2026-46300,CVE-2026-46333,CVE-2026-22990</t>
  </si>
  <si>
    <t>AlmaLinux Security Update for kernel (ALSA-2026:21556)</t>
  </si>
  <si>
    <t>CVE-2026-31408,CVE-2026-43190,CVE-2026-43020,CVE-2026-23392,CVE-2026-43051,CVE-2026-31684,CVE-2026-31685,CVE-2025-68183,CVE-2025-68724,CVE-2025-68366,CVE-2025-38653,CVE-2025-71089,CVE-2026-43023,CVE-2026-43110,CVE-2026-43303,CVE-2026-23455,CVE-2026-43027,CVE-2026-31709,CVE-2026-43158</t>
  </si>
  <si>
    <t>AlmaLinux Security Update for samba (ALSA-2026:25049)</t>
  </si>
  <si>
    <t>CVE-2026-1933,CVE-2026-4480,CVE-2026-4408,CVE-2026-3012,CVE-2026-40170,CVE-2026-2340</t>
  </si>
  <si>
    <t>AlmaLinux Security Update for kernel (ALSA-2026:25217)</t>
  </si>
  <si>
    <t>CVE-2026-31419,CVE-2026-31508,CVE-2026-46181,CVE-2026-45852,CVE-2026-23216,CVE-2026-43056,CVE-2026-31581,CVE-2026-43501,CVE-2026-43116,CVE-2026-43037,CVE-2026-43125</t>
  </si>
  <si>
    <t>AlmaLinux Security Update for Open Secure Sockets Layer (OpenSSL) (ALSA-2026:25239)</t>
  </si>
  <si>
    <t>CVE-2026-9076,CVE-2026-7383,CVE-2026-42768,CVE-2026-42767,CVE-2026-42766,CVE-2026-34182,CVE-2026-34183,CVE-2026-34180,CVE-2026-34181,CVE-2026-42769,CVE-2026-45445,CVE-2026-42770,CVE-2026-45446,CVE-2026-45447,CVE-2026-42764</t>
  </si>
  <si>
    <t>AlmaLinux Security Update for kernel (ALSA-2026:27789)</t>
  </si>
  <si>
    <t>CVE-2026-46152,CVE-2026-46331,CVE-2026-46056,CVE-2026-46166,CVE-2026-31787,CVE-2026-46173,CVE-2026-43260,CVE-2026-31669,CVE-2026-31772,CVE-2026-31474,CVE-2026-43414,CVE-2026-45984,CVE-2026-46117,CVE-2026-46135,CVE-2026-46145,CVE-2026-43279,CVE-2026-46125</t>
  </si>
  <si>
    <t>AlmaLinux Security Update for kernel (ALSA-2026:30848)</t>
  </si>
  <si>
    <t>CVE-2026-46054,CVE-2026-43329,CVE-2026-46176,CVE-2026-46090,CVE-2026-31488,CVE-2026-45898,CVE-2026-46189,CVE-2026-43038</t>
  </si>
  <si>
    <t>AlmaLinux Security Update for glibc (ALSA-2026:33226)</t>
  </si>
  <si>
    <t>CVE-2026-5450</t>
  </si>
  <si>
    <t>AlmaLinux Security Update for kernel (ALSA-2026:33285)</t>
  </si>
  <si>
    <t>CVE-2026-31411,CVE-2026-43198</t>
  </si>
  <si>
    <t>AlmaLinux Security Update for gnutls (ALSA-2026:20612)</t>
  </si>
  <si>
    <t>CVE-2026-33845,CVE-2026-33846,CVE-2026-5260,CVE-2026-42009,CVE-2026-42012,CVE-2026-42011,CVE-2026-42010,CVE-2026-5419,CVE-2026-42015,CVE-2026-42014,CVE-2026-3832,CVE-2026-42013,CVE-2026-3833</t>
  </si>
  <si>
    <t>AlmaLinux Security Update for kernel (ALSA-2026:36018)</t>
  </si>
  <si>
    <t>CVE-2026-46155,CVE-2026-46209,CVE-2025-10263,CVE-2026-43112,CVE-2026-46227,CVE-2026-46116,CVE-2026-43276,CVE-2026-46259,CVE-2026-46316,CVE-2026-46244,CVE-2026-46323</t>
  </si>
  <si>
    <t>AlmaLinux Security Update for glib2 (ALSA-2026:42089)</t>
  </si>
  <si>
    <t>CVE-2026-58016</t>
  </si>
  <si>
    <t>AlmaLinux Security Update for kernel (ALSA-2026:45192)</t>
  </si>
  <si>
    <t>CVE-2026-53006,CVE-2026-52976,CVE-2025-40026,CVE-2026-52950,CVE-2026-53059</t>
  </si>
  <si>
    <t>AlmaLinux Security Update for kernel (ALSA-2026:49212)</t>
  </si>
  <si>
    <t>CVE-2026-52923,CVE-2026-64530,CVE-2026-52993</t>
  </si>
  <si>
    <t>AlmaLinux Security Update for kernel (ALSA-2026:57252)</t>
  </si>
  <si>
    <t>CVE-2026-46120,CVE-2026-53374,CVE-2026-53356,CVE-2026-53136,CVE-2026-63952,CVE-2026-64007,CVE-2026-43206,CVE-2026-63879,CVE-2026-64560,CVE-2026-68343,CVE-2026-68388,CVE-2026-64386,CVE-2026-64048,CVE-2026-53329,CVE-2026-64382,CVE-2026-53143,CVE-2026-53189,CVE-2026-52991,CVE-2026-63888,CVE-2026-64219,CVE-2026-45878,CVE-2026-43233,CVE-2026-43237,CVE-2026-45991,CVE-2026-64379,CVE-2026-63884</t>
  </si>
  <si>
    <t>AlmaLinux Security Update for kernel (ALSA-2026:59723)</t>
  </si>
  <si>
    <t>CVE-2026-64191,CVE-2026-52920,CVE-2026-74581,CVE-2026-52924,CVE-2026-53131,CVE-2026-53185,CVE-2025-68211,CVE-2026-53268,CVE-2026-64276,CVE-2026-64277,CVE-2026-64189,CVE-2026-23003,CVE-2026-43114</t>
  </si>
  <si>
    <t>AlmaLinux Security Update for libxml2 (ALSA-2026:61247)</t>
  </si>
  <si>
    <t>CVE-2026-6653,CVE-2026-11979</t>
  </si>
  <si>
    <t>AlmaLinux Security Update for containernetworking-plugins (ALSA-2026:18913)</t>
  </si>
  <si>
    <t>CVE-2025-61729,CVE-2025-68121,CVE-2025-61726</t>
  </si>
  <si>
    <t>AlmaLinux Security Update for buildah (ALSA-2026:29455)</t>
  </si>
  <si>
    <t>CVE-2026-32281,CVE-2026-32283,CVE-2026-25679,CVE-2026-32280,CVE-2026-39829,CVE-2026-39830</t>
  </si>
  <si>
    <t>AlmaLinux Security Update for podman (ALSA-2026:37123)</t>
  </si>
  <si>
    <t>CVE-2026-39832,CVE-2026-42508,CVE-2026-39835,CVE-2026-57231,CVE-2026-39829,CVE-2026-25681,CVE-2026-27136</t>
  </si>
  <si>
    <t>AlmaLinux Security Update for buildah (ALSA-2026:37410)</t>
  </si>
  <si>
    <t>CVE-2026-39832,CVE-2026-39835</t>
  </si>
  <si>
    <t>AlmaLinux Security Update for iscsi-initiator-utils (ALSA-2026:53844)</t>
  </si>
  <si>
    <t>CVE-2026-44943,CVE-2026-44944</t>
  </si>
  <si>
    <t>AlmaLinux Security Update for haproxy (ALSA-2026:55772)</t>
  </si>
  <si>
    <t>CVE-2026-55204,CVE-2026-55203</t>
  </si>
  <si>
    <t>AlmaLinux Security Update for p11-kit (ALSA-2026:18599)</t>
  </si>
  <si>
    <t>CVE-2026-2100</t>
  </si>
  <si>
    <t>AlmaLinux Security Update for libssh (ALSA-2026:18683)</t>
  </si>
  <si>
    <t>CVE-2026-0966,CVE-2025-4878,CVE-2026-0965,CVE-2026-0968,CVE-2026-0967,CVE-2025-4877,CVE-2025-8277,CVE-2025-8114,CVE-2025-5351,CVE-2026-0964</t>
  </si>
  <si>
    <t>AlmaLinux Security Update for bind (ALSA-2026:18786)</t>
  </si>
  <si>
    <t>CVE-2025-8677</t>
  </si>
  <si>
    <t>AlmaLinux Security Update for Open Secure Sockets Layer (OpenSSL) (ALSA-2026:19218)</t>
  </si>
  <si>
    <t>CVE-2026-31790</t>
  </si>
  <si>
    <t>AlmaLinux Security Update for kernel (ALSA-2026:19225)</t>
  </si>
  <si>
    <t>CVE-2026-43284,CVE-2026-31677,CVE-2026-23060,CVE-2026-31431</t>
  </si>
  <si>
    <t>AlmaLinux Security Update for libcap (ALSA-2026:19346)</t>
  </si>
  <si>
    <t>CVE-2026-4878</t>
  </si>
  <si>
    <t>AlmaLinux Security Update for openssh (ALSA-2026:19219)</t>
  </si>
  <si>
    <t>CVE-2026-35385,CVE-2026-35386,CVE-2026-35414,CVE-2026-35387,CVE-2026-35388</t>
  </si>
  <si>
    <t>AlmaLinux Security Update for sudo (ALSA-2026:19220)</t>
  </si>
  <si>
    <t>CVE-2026-35535</t>
  </si>
  <si>
    <t>AlmaLinux Security Update for vim (ALSA-2026:19224)</t>
  </si>
  <si>
    <t>CVE-2026-34982</t>
  </si>
  <si>
    <t>AlmaLinux Security Update for jq (ALSA-2026:19365)</t>
  </si>
  <si>
    <t>CVE-2026-39979,CVE-2026-40164</t>
  </si>
  <si>
    <t>AlmaLinux Security Update for Open Secure Sockets Layer (OpenSSL) (ALSA-2026:22312)</t>
  </si>
  <si>
    <t>CVE-2026-28390</t>
  </si>
  <si>
    <t>AlmaLinux Security Update for vim (ALSA-2026:22717)</t>
  </si>
  <si>
    <t>CVE-2026-35177</t>
  </si>
  <si>
    <t>AlmaLinux Security Update for kernel (ALSA-2026:18587)</t>
  </si>
  <si>
    <t>CVE-2026-23040,CVE-2025-38405,CVE-2025-39866,CVE-2025-38097,CVE-2025-40134,CVE-2025-38166,CVE-2025-38441,CVE-2025-37980,CVE-2025-38015,CVE-2025-38279,CVE-2025-38400,CVE-2025-22105,CVE-2025-38470,CVE-2026-23243</t>
  </si>
  <si>
    <t>AlmaLinux Security Update for expat (ALSA-2026:23230)</t>
  </si>
  <si>
    <t>CVE-2026-45186</t>
  </si>
  <si>
    <t>AlmaLinux Security Update for bind (ALSA-2026:24367)</t>
  </si>
  <si>
    <t>CVE-2026-3039,CVE-2026-5946</t>
  </si>
  <si>
    <t>AlmaLinux Security Update for kernel (ALSA-2026:24381)</t>
  </si>
  <si>
    <t>CVE-2026-46243,CVE-2026-31613,CVE-2026-31786</t>
  </si>
  <si>
    <t>AlmaLinux Security Update for dracut (ALSA-2026:26533)</t>
  </si>
  <si>
    <t>CVE-2026-6893</t>
  </si>
  <si>
    <t>AlmaLinux Security Update for libtasn1 (ALSA-2026:28253)</t>
  </si>
  <si>
    <t>CVE-2025-13151</t>
  </si>
  <si>
    <t>AlmaLinux Security Update for libxml2 (ALSA-2026:28254)</t>
  </si>
  <si>
    <t>CVE-2024-34459</t>
  </si>
  <si>
    <t>AlmaLinux Security Update for libpng (ALSA-2026:28255)</t>
  </si>
  <si>
    <t>CVE-2026-33416,CVE-2026-33636</t>
  </si>
  <si>
    <t>AlmaLinux Security Update for glibc (ALSA-2026:20597)</t>
  </si>
  <si>
    <t>CVE-2026-4046,CVE-2026-4438,CVE-2026-4437</t>
  </si>
  <si>
    <t>AlmaLinux Security Update for kernel (ALSA-2026:36645)</t>
  </si>
  <si>
    <t>CVE-2026-46242,CVE-2026-43074,CVE-2026-53266</t>
  </si>
  <si>
    <t>AlmaLinux Security Update for kernel (ALSA-2026:36957)</t>
  </si>
  <si>
    <t>CVE-2026-53359,CVE-2025-71066,CVE-2026-46113</t>
  </si>
  <si>
    <t>AlmaLinux Security Update for kernel (ALSA-2026:38491)</t>
  </si>
  <si>
    <t>CVE-2026-46086,CVE-2026-22979,CVE-2026-53016,CVE-2026-43499</t>
  </si>
  <si>
    <t>AlmaLinux Security Update for libsolv (ALSA-2026:39315)</t>
  </si>
  <si>
    <t>CVE-2026-48864</t>
  </si>
  <si>
    <t>AlmaLinux Security Update for python3.9 (ALSA-2026:39798)</t>
  </si>
  <si>
    <t>CVE-2026-15308</t>
  </si>
  <si>
    <t>AlmaLinux Security Update for acl (ALSA-2026:42736)</t>
  </si>
  <si>
    <t>CVE-2026-54370,CVE-2026-54369</t>
  </si>
  <si>
    <t>AlmaLinux Security Update for glibc (ALSA-2026:42952)</t>
  </si>
  <si>
    <t>CVE-2026-5928,CVE-2026-5435,CVE-2026-6238</t>
  </si>
  <si>
    <t>AlmaLinux Security Update for kernel (ALSA-2026:43307)</t>
  </si>
  <si>
    <t>CVE-2026-23110,CVE-2026-53071,CVE-2025-71113,CVE-2026-46150,CVE-2026-46215</t>
  </si>
  <si>
    <t>AlmaLinux Security Update for sssd (ALSA-2026:42122)</t>
  </si>
  <si>
    <t>CVE-2026-14476,CVE-2026-14474</t>
  </si>
  <si>
    <t>AlmaLinux Security Update for openssh (ALSA-2026:47756)</t>
  </si>
  <si>
    <t>CVE-2026-55655,CVE-2026-55653,CVE-2026-60002,CVE-2026-59996,CVE-2026-55654</t>
  </si>
  <si>
    <t>AlmaLinux Security Update for vim (ALSA-2026:47982)</t>
  </si>
  <si>
    <t>CVE-2026-57456,CVE-2026-57455,CVE-2026-59856,CVE-2026-55693,CVE-2026-59858</t>
  </si>
  <si>
    <t>AlmaLinux Security Update for kernel (ALSA-2026:47040)</t>
  </si>
  <si>
    <t>CVE-2026-64017,CVE-2026-52973,CVE-2025-39797,CVE-2026-53281,CVE-2026-23002</t>
  </si>
  <si>
    <t>AlmaLinux Security Update for sg3_utils (ALSA-2026:50141)</t>
  </si>
  <si>
    <t>CVE-2026-16313</t>
  </si>
  <si>
    <t>AlmaLinux Security Update for kernel (ALSA-2026:51035)</t>
  </si>
  <si>
    <t>CVE-2026-23415,CVE-2026-43450</t>
  </si>
  <si>
    <t>AlmaLinux Security Update for libarchive (ALSA-2026:52674)</t>
  </si>
  <si>
    <t>CVE-2026-14164</t>
  </si>
  <si>
    <t>AlmaLinux Security Update for kernel (ALSA-2026:53329)</t>
  </si>
  <si>
    <t>CVE-2025-54518,CVE-2026-31530,CVE-2026-64531,CVE-2026-64368</t>
  </si>
  <si>
    <t>AlmaLinux Security Update for vim (ALSA-2026:38511)</t>
  </si>
  <si>
    <t>CVE-2026-46483,CVE-2026-47167,CVE-2026-47162,CVE-2026-52858</t>
  </si>
  <si>
    <t>AlmaLinux Security Update for bind (ALSA-2026:54510)</t>
  </si>
  <si>
    <t>CVE-2026-13321,CVE-2026-11331,CVE-2026-13204,CVE-2026-11622,CVE-2026-11721,CVE-2026-10723</t>
  </si>
  <si>
    <t>AlmaLinux Security Update for dracut (ALSA-2026:54571)</t>
  </si>
  <si>
    <t>CVE-2026-15816</t>
  </si>
  <si>
    <t>AlmaLinux Security Update for kernel (ALSA-2026:54443)</t>
  </si>
  <si>
    <t>CVE-2026-53264,CVE-2026-53202</t>
  </si>
  <si>
    <t>AlmaLinux Security Update for curl (ALSA-2026:55439)</t>
  </si>
  <si>
    <t>CVE-2026-9547,CVE-2026-3783,CVE-2026-8286,CVE-2026-1965</t>
  </si>
  <si>
    <t>AlmaLinux Security Update for glib2 (ALSA-2026:55440)</t>
  </si>
  <si>
    <t>CVE-2026-58010,CVE-2026-58011,CVE-2026-58012,CVE-2026-15588,CVE-2026-58013,CVE-2026-58014,CVE-2026-58015</t>
  </si>
  <si>
    <t>AlmaLinux Security Update for kbd (ALSA-2026:57610)</t>
  </si>
  <si>
    <t>CVE-2026-72693</t>
  </si>
  <si>
    <t>AlmaLinux Security Update for sqlite (ALSA-2026:58936)</t>
  </si>
  <si>
    <t>CVE-2026-11822,CVE-2026-11824</t>
  </si>
  <si>
    <t>AlmaLinux Security Update for attr (ALSA-2026:60226)</t>
  </si>
  <si>
    <t>CVE-2026-54371</t>
  </si>
  <si>
    <t>AlmaLinux Security Update for gzip (ALSA-2026:61623)</t>
  </si>
  <si>
    <t>CVE-2026-41992,CVE-2026-41991</t>
  </si>
  <si>
    <t>AlmaLinux Security Update for webkit2gtk3 (ALSA-2026:19206)</t>
  </si>
  <si>
    <t>CVE-2026-28859,CVE-2026-28857,CVE-2025-46299,CVE-2026-20608,CVE-2025-43214,CVE-2025-43511,CVE-2025-43213,CVE-2025-43457,CVE-2026-20635,CVE-2026-20636,CVE-2026-20644,CVE-2026-20664,CVE-2026-20665,CVE-2026-20643,CVE-2026-20676,CVE-2026-20652,CVE-2026-28871,CVE-2026-20691</t>
  </si>
  <si>
    <t>AlmaLinux Security Update for gdk-pixbuf2 (ALSA-2026:19210)</t>
  </si>
  <si>
    <t>CVE-2026-5201</t>
  </si>
  <si>
    <t>AlmaLinux Security Update for PackageKit (ALSA-2026:19354)</t>
  </si>
  <si>
    <t>CVE-2026-41651</t>
  </si>
  <si>
    <t>AlmaLinux Security Update for libsoup (ALSA-2026:19356)</t>
  </si>
  <si>
    <t>CVE-2026-5119</t>
  </si>
  <si>
    <t>AlmaLinux Security Update for rsync (ALSA-2026:19368)</t>
  </si>
  <si>
    <t>CVE-2026-41035,CVE-2024-12086</t>
  </si>
  <si>
    <t>AlmaLinux Security Update for podman (ALSA-2026:19173)</t>
  </si>
  <si>
    <t>CVE-2026-34986</t>
  </si>
  <si>
    <t>AlmaLinux Security Update for crun (ALSA-2026:19178)</t>
  </si>
  <si>
    <t>CVE-2026-30892</t>
  </si>
  <si>
    <t>AlmaLinux Security Update for buildah (ALSA-2026:19186)</t>
  </si>
  <si>
    <t>AlmaLinux Security Update for cockpit (ALSA-2026:21468)</t>
  </si>
  <si>
    <t>CVE-2026-4802</t>
  </si>
  <si>
    <t>AlmaLinux Security Update for webkit2gtk3 (ALSA-2026:25927)</t>
  </si>
  <si>
    <t>CVE-2026-28955,CVE-2026-28942,CVE-2026-28953,CVE-2026-28958,CVE-2026-28947,CVE-2026-28903,CVE-2026-28904,CVE-2026-28901,CVE-2026-28946,CVE-2026-28902,CVE-2026-28847,CVE-2026-28907,CVE-2026-28905,CVE-2026-43658,CVE-2026-43660,CVE-2026-28883</t>
  </si>
  <si>
    <t>AlmaLinux Security Update for rsync (ALSA-2026:26410)</t>
  </si>
  <si>
    <t>CVE-2026-43618,CVE-2026-29518</t>
  </si>
  <si>
    <t>AlmaLinux Security Update for podman (ALSA-2026:26447)</t>
  </si>
  <si>
    <t>CVE-2026-32281,CVE-2026-32283,CVE-2026-32280</t>
  </si>
  <si>
    <t>AlmaLinux Security Update for python-urllib3 (ALSA-2026:28158)</t>
  </si>
  <si>
    <t>CVE-2026-44431,CVE-2026-44432</t>
  </si>
  <si>
    <t>AlmaLinux Security Update for containernetworking-plugins (ALSA-2026:29703)</t>
  </si>
  <si>
    <t>CVE-2026-32281,CVE-2026-32283,CVE-2026-25679,CVE-2026-32280</t>
  </si>
  <si>
    <t>AlmaLinux Security Update for aardvark-Domain Name System (DNS) (ALSA-2026:36318)</t>
  </si>
  <si>
    <t>CVE-2026-35406</t>
  </si>
  <si>
    <t>AlmaLinux Security Update for podman (ALSA-2026:38878)</t>
  </si>
  <si>
    <t>CVE-2026-39822</t>
  </si>
  <si>
    <t>AlmaLinux Security Update for buildah (ALSA-2026:38493)</t>
  </si>
  <si>
    <t>AlmaLinux Security Update for webkit2gtk3 (ALSA-2026:42062)</t>
  </si>
  <si>
    <t>CVE-2026-39872,CVE-2026-43725,CVE-2026-43713,CVE-2026-43734,CVE-2026-43701,CVE-2026-43745,CVE-2026-43712,CVE-2024-4367,CVE-2026-43707,CVE-2026-43716,CVE-2026-43705,CVE-2026-43727,CVE-2026-43715,CVE-2026-43726,CVE-2026-43721,CVE-2026-43699,CVE-2026-43732,CVE-2026-43676,CVE-2026-43720,CVE-2026-43742,CVE-2026-43731,CVE-2026-43740,CVE-2026-43663</t>
  </si>
  <si>
    <t>AlmaLinux Security Update for isns-utils (ALSA-2026:53847)</t>
  </si>
  <si>
    <t>CVE-2026-55995</t>
  </si>
  <si>
    <t>AlmaLinux Security Update for pcp (ALSA-2026:55740)</t>
  </si>
  <si>
    <t>CVE-2026-16524,CVE-2026-16529,CVE-2026-16527,CVE-2026-16526</t>
  </si>
  <si>
    <t>AlmaLinux Security Update for systemd (ALSA-2026:19213)</t>
  </si>
  <si>
    <t>CVE-2026-29111</t>
  </si>
  <si>
    <t>AlmaLinux Security Update for krb5 (ALSA-2026:19357)</t>
  </si>
  <si>
    <t>CVE-2026-40356,CVE-2026-40355</t>
  </si>
  <si>
    <t>AlmaLinux Security Update for libxslt (ALSA-2026:28243)</t>
  </si>
  <si>
    <t>CVE-2025-10911</t>
  </si>
  <si>
    <t>AlmaLinux Security Update for vim (ALSA-2026:28209)</t>
  </si>
  <si>
    <t>CVE-2026-41411</t>
  </si>
  <si>
    <t>AlmaLinux Security Update for p11-kit (ALSA-2026:49667)</t>
  </si>
  <si>
    <t>CVE-2026-13757</t>
  </si>
  <si>
    <t>AlmaLinux Security Update for libgcrypt (ALSA-2026:50147)</t>
  </si>
  <si>
    <t>CVE-2026-41989</t>
  </si>
  <si>
    <t>AlmaLinux Security Update for python3.9 (ALSA-2026:54268)</t>
  </si>
  <si>
    <t>CVE-2026-11940</t>
  </si>
  <si>
    <t>AlmaLinux Security Update for nghttp2 (ALSA-2026:54662)</t>
  </si>
  <si>
    <t>CVE-2026-58055</t>
  </si>
  <si>
    <t>AlmaLinux Security Update for NetworkManager (ALSA-2026:58572)</t>
  </si>
  <si>
    <t>CVE-2026-10805</t>
  </si>
  <si>
    <t>AlmaLinux Security Update for dbus-broker (ALSA-2026:61355)</t>
  </si>
  <si>
    <t>CVE-2026-16730</t>
  </si>
  <si>
    <t>AlmaLinux Security Update for tar (ALSA-2026:61581)</t>
  </si>
  <si>
    <t>CVE-2026-18508,CVE-2026-5704,CVE-2026-18477</t>
  </si>
  <si>
    <t>AlmaLinux Security Update for python-idna (ALSA-2026:54484)</t>
  </si>
  <si>
    <t>CVE-2026-45409</t>
  </si>
  <si>
    <t>AlmaLinux Security Update for NetworkManager (ALSA-2026:18597)</t>
  </si>
  <si>
    <t>CVE-2025-9615</t>
  </si>
  <si>
    <t>AlmaLinux Security Update for python3.9 (ALSA-2026:19216)</t>
  </si>
  <si>
    <t>CVE-2026-4519,CVE-2026-6100,CVE-2026-4786</t>
  </si>
  <si>
    <t>AlmaLinux Security Update for coreutils (ALSA-2026:28911)</t>
  </si>
  <si>
    <t>CVE-2025-5278</t>
  </si>
  <si>
    <t>AlmaLinux Security Update for libxml2 (ALSA-2026:39317)</t>
  </si>
  <si>
    <t>CVE-2025-6170</t>
  </si>
  <si>
    <t>AlmaLinux Security Update for kernel (ALSA-2026:49870)</t>
  </si>
  <si>
    <t>CVE-2025-68214</t>
  </si>
  <si>
    <t>AlmaLinux Security Update for luksmeta (ALSA-2026:18824)</t>
  </si>
  <si>
    <t>CVE-2025-11568</t>
  </si>
  <si>
    <t>111 findings | 831 total detections</t>
  </si>
  <si>
    <t>Oracle Enterprise Linux Security Update for gnutls (ELSA-2026-20611)</t>
  </si>
  <si>
    <t>CVE-2026-42009,CVE-2026-33845,CVE-2026-33846,CVE-2026-42012,CVE-2026-42011,CVE-2026-42010,CVE-2026-5260,CVE-2026-42015,CVE-2026-42014,CVE-2026-3833,CVE-2026-42013</t>
  </si>
  <si>
    <t>Oracle Enterprise Linux Security Update for samba (ELSA-2026-22644)</t>
  </si>
  <si>
    <t>CVE-2026-4408,CVE-2026-4480,CVE-2026-3012</t>
  </si>
  <si>
    <t>Oracle Enterprise Linux Security Update for unbreakable enterprise kernel (ELSA-2026-50294)</t>
  </si>
  <si>
    <t>CVE-2026-31402,CVE-2026-43284,CVE-2026-23270,CVE-2025-54518,CVE-2026-46300,CVE-2026-46333,CVE-2025-38085</t>
  </si>
  <si>
    <t>Oracle Enterprise Linux Security Update for unbreakable enterprise kernel (ELSA-2026-50305)</t>
  </si>
  <si>
    <t>CVE-2025-10263</t>
  </si>
  <si>
    <t>Oracle Enterprise Linux Security Update for unbreakable enterprise kernel (ELSA-2026-50318)</t>
  </si>
  <si>
    <t>CVE-2022-50073,CVE-2026-31657,CVE-2026-31504,CVE-2026-31669,CVE-2026-31533</t>
  </si>
  <si>
    <t>Oracle Enterprise Linux Security Update for unbreakable enterprise kernel (ELSA-2026-50373)</t>
  </si>
  <si>
    <t>CVE-2022-50073,CVE-2026-46331,CVE-2026-52943,CVE-2026-53359,CVE-2025-10263,CVE-2026-31657</t>
  </si>
  <si>
    <t>Oracle Enterprise Linux Security Update for glibc (ELSA-2026-33126)</t>
  </si>
  <si>
    <t>Oracle Enterprise Linux Security Update for glib2 (ELSA-2026-42090)</t>
  </si>
  <si>
    <t>Oracle Enterprise Linux Security Update for unbreakable enterprise kernel (ELSA-2025-28067)</t>
  </si>
  <si>
    <t>CVE-2025-40280,CVE-2025-40271,CVE-2025-40248</t>
  </si>
  <si>
    <t>Oracle Enterprise Linux Security Update for libarchive (ELSA-2026-8534)</t>
  </si>
  <si>
    <t>CVE-2026-5121,CVE-2026-4424</t>
  </si>
  <si>
    <t>Oracle Enterprise Linux Security Update for glib2 (ELSA-2026-15953)</t>
  </si>
  <si>
    <t>Oracle Enterprise Linux Security Update for unbreakable enterprise kernel (ELSA-2026-50271)</t>
  </si>
  <si>
    <t>CVE-2026-31402,CVE-2026-23270</t>
  </si>
  <si>
    <t>Oracle Enterprise Linux Security Update for unbreakable enterprise kernel (ELSA-2026-50280)</t>
  </si>
  <si>
    <t>CVE-2026-46333</t>
  </si>
  <si>
    <t>Oracle Enterprise Linux Security Update for unbreakable enterprise kernel (ELSA-2026-50287)</t>
  </si>
  <si>
    <t>CVE-2026-46300</t>
  </si>
  <si>
    <t>Oracle Enterprise Linux Security Update for glibc (ELSA-2026-20587)</t>
  </si>
  <si>
    <t>CVE-2026-4046</t>
  </si>
  <si>
    <t>Oracle Enterprise Linux Security Update for expat (ELSA-2026-22721)</t>
  </si>
  <si>
    <t>Oracle Enterprise Linux Security Update for vim (ELSA-2026-22730)</t>
  </si>
  <si>
    <t>Oracle Enterprise Linux Security Update for unbound (ELSA-2026-24365)</t>
  </si>
  <si>
    <t>CVE-2026-42944,CVE-2026-42959</t>
  </si>
  <si>
    <t>Oracle Enterprise Linux Security Update for bind (ELSA-2026-24339)</t>
  </si>
  <si>
    <t>Oracle Enterprise Linux Security Update for libxml2 (ELSA-2026-26354)</t>
  </si>
  <si>
    <t>Oracle Enterprise Linux Security Update for Open Secure Sockets Layer (OpenSSL) (ELSA-2026-26275)</t>
  </si>
  <si>
    <t>CVE-2024-4741,CVE-2026-45447</t>
  </si>
  <si>
    <t>Oracle Enterprise Linux Security Update for dracut (ELSA-2026-26534)</t>
  </si>
  <si>
    <t>Oracle Enterprise Linux Security Update for libpng (ELSA-2026-29898)</t>
  </si>
  <si>
    <t>CVE-2026-33416</t>
  </si>
  <si>
    <t>Oracle Enterprise Linux Security Update for unbreakable enterprise kernel (ELSA-2026-50352)</t>
  </si>
  <si>
    <t>CVE-2026-52943</t>
  </si>
  <si>
    <t>Oracle Enterprise Linux Security Update for unbreakable enterprise kernel (ELSA-2026-50387)</t>
  </si>
  <si>
    <t>CVE-2026-43499</t>
  </si>
  <si>
    <t>Oracle Enterprise Linux Security Update for libsolv (ELSA-2026-36730)</t>
  </si>
  <si>
    <t>Oracle Enterprise Linux Security Update for libtasn1 (ELSA-2026-36728)</t>
  </si>
  <si>
    <t>Oracle Enterprise Linux Security Update for cups (ELSA-2026-36733)</t>
  </si>
  <si>
    <t>CVE-2026-34980</t>
  </si>
  <si>
    <t>Oracle Enterprise Linux Security Update for unbound (ELSA-2026-37282)</t>
  </si>
  <si>
    <t>CVE-2026-40622,CVE-2026-42534,CVE-2026-41292,CVE-2026-44390</t>
  </si>
  <si>
    <t>Oracle Enterprise Linux Security Update for vim (ELSA-2026-38510)</t>
  </si>
  <si>
    <t>Oracle Enterprise Linux Security Update for Open Secure Sockets Layer (OpenSSL) (ELSA-2026-38503)</t>
  </si>
  <si>
    <t>Oracle Enterprise Linux Security Update for python3 (ELSA-2026-39320)</t>
  </si>
  <si>
    <t>Oracle Enterprise Linux Security Update for acl (ELSA-2026-43420)</t>
  </si>
  <si>
    <t>Oracle Enterprise Linux Security Update for glibc (ELSA-2026-42733)</t>
  </si>
  <si>
    <t>Oracle Enterprise Linux Security Update for sssd (ELSA-2026-46990)</t>
  </si>
  <si>
    <t>Oracle Enterprise Linux Security Update for vim (ELSA-2026-48703)</t>
  </si>
  <si>
    <t>CVE-2026-57456,CVE-2026-57455,CVE-2026-55693,CVE-2026-59858</t>
  </si>
  <si>
    <t>Oracle Enterprise Linux Security Update for unbreakable enterprise kernel (ELSA-2026-500137)</t>
  </si>
  <si>
    <t>CVE-2026-68480,CVE-2026-64561,CVE-2026-64531</t>
  </si>
  <si>
    <t>Oracle Enterprise Linux Security Update for unbreakable enterprise kernel (ELSA-2026-500162)</t>
  </si>
  <si>
    <t>Oracle Enterprise Linux Security Update for dracut (ELSA-2026-54575)</t>
  </si>
  <si>
    <t>Oracle Enterprise Linux Security Update for bind (ELSA-2026-54654)</t>
  </si>
  <si>
    <t>CVE-2026-13321,CVE-2026-13204,CVE-2026-11622,CVE-2026-11721,CVE-2026-10723</t>
  </si>
  <si>
    <t>Oracle Enterprise Linux Security Update for attr (ELSA-2026-56133)</t>
  </si>
  <si>
    <t>Oracle Enterprise Linux Security Update for unbound (ELSA-2026-55784)</t>
  </si>
  <si>
    <t>CVE-2026-44690</t>
  </si>
  <si>
    <t>Oracle Enterprise Linux Security Update for sg3_utils (ELSA-2026-56130)</t>
  </si>
  <si>
    <t>Oracle Enterprise Linux Security Update for curl (ELSA-2026-57462)</t>
  </si>
  <si>
    <t>CVE-2026-8286</t>
  </si>
  <si>
    <t>Oracle Enterprise Linux Security Update for sqlite (ELSA-2026-58938)</t>
  </si>
  <si>
    <t>Oracle Enterprise Linux Security Update for python-urwid (ELSA-2026-58562)</t>
  </si>
  <si>
    <t>CVE-2026-9323</t>
  </si>
  <si>
    <t>Oracle Enterprise Linux Security Update for glib2 (ELSA-2026-61766-0)</t>
  </si>
  <si>
    <t>Oracle Enterprise Linux Security Update for unbreakable enterprise kernel (ELSA-2025-20721)</t>
  </si>
  <si>
    <t>CVE-2025-38724,CVE-2025-39964</t>
  </si>
  <si>
    <t>Oracle Enterprise Linux Security Update for unbreakable enterprise kernel (ELSA-2025-25733)</t>
  </si>
  <si>
    <t>CVE-2025-39973</t>
  </si>
  <si>
    <t>Oracle Enterprise Linux Security Update for bind (ELSA-2025-19835)</t>
  </si>
  <si>
    <t>CVE-2025-40778</t>
  </si>
  <si>
    <t>Oracle Enterprise Linux Security Update for sssd (ELSA-2025-19610)</t>
  </si>
  <si>
    <t>CVE-2025-11561</t>
  </si>
  <si>
    <t>Oracle Enterprise Linux Security Update for unbreakable enterprise kernel (ELSA-2025-25757)</t>
  </si>
  <si>
    <t>CVE-2025-38708,CVE-2025-38425,CVE-2025-38700,CVE-2025-39757,CVE-2025-38668,CVE-2025-38701,CVE-2025-39756,CVE-2025-38706,CVE-2025-39760,CVE-2025-38670,CVE-2025-38671,CVE-2025-38550,CVE-2025-38553,CVE-2025-38676,CVE-2025-38555,CVE-2025-38535,CVE-2025-39865,CVE-2025-39866,CVE-2025-38539,CVE-2025-39902,CVE-2025-39749,CVE-2025-37968,CVE-2025-38148,CVE-2025-38664,CVE-2025-37916,CVE-2025-38609,CVE-2025-38729,CVE-2025-38608,CVE-2024-35968,CVE-2025-38601,CVE-2025-39812,CVE-2025-38721,CVE-2024-26652,CVE-2025-39813,CVE-2025-38724,CVE-2025-38602,CVE-2025-38725,CVE-2025-38604,CVE-2025-39817,CVE-2025-39782,CVE-2025-38691,CVE-2025-38694,CVE-2025-38177,CVE-2025-38572,CVE-2025-38693,CVE-2025-39787,CVE-2025-38574,CVE-2025-38695,CVE-2025-38335,CVE-2025-38718,CVE-2025-39808,CVE-2025-39801,CVE-2025-39766,CVE-2025-37987,CVE-2025-39806,CVE-2025-39772,CVE-2025-38680,CVE-2025-38683,CVE-2025-39891,CVE-2025-38685,CVE-2025-38563,CVE-2025-38684,CVE-2025-39773,CVE-2025-39894,CVE-2025-38565,CVE-2025-38502,CVE-2025-39713,CVE-2025-38622,CVE-2025-39835,CVE-2025-39714,CVE-2025-38468,CVE-2025-37932,CVE-2025-39683,CVE-2025-39681,CVE-2025-38474,CVE-2025-38473,CVE-2025-39841,CVE-2025-38236,CVE-2025-38477,CVE-2025-38470,CVE-2025-37886,CVE-2025-38732,CVE-2025-39703,CVE-2025-38699,CVE-2025-39824,CVE-2025-38614,CVE-2025-37887,CVE-2025-39828,CVE-2025-38736,CVE-2025-38617,CVE-2025-39673,CVE-2025-39676,CVE-2025-39798,CVE-2025-39795,CVE-2025-39790,CVE-2024-50022,CVE-2025-38645,CVE-2025-37798,CVE-2025-37953,CVE-2025-38528,CVE-2025-39738,CVE-2025-39860,CVE-2025-39742,CVE-2025-38497,CVE-2025-39864,CVE-2025-38095,CVE-2025-39845,CVE-2025-39724,CVE-2025-39689,CVE-2025-39964,CVE-2025-39844,CVE-2025-39847,CVE-2025-38639,CVE-2025-39693,CVE-2025-39973,CVE-2025-39853,CVE-2025-39730,CVE-2025-39697,CVE-2024-56742,CVE-2025-39691</t>
  </si>
  <si>
    <t>Oracle Enterprise Linux Security Update for expat (ELSA-2025-21776)</t>
  </si>
  <si>
    <t>CVE-2025-59375</t>
  </si>
  <si>
    <t>Oracle Enterprise Linux Security Update for unbreakable enterprise kernel (ELSA-2025-28024)</t>
  </si>
  <si>
    <t>CVE-2025-40019</t>
  </si>
  <si>
    <t>Oracle Enterprise Linux Security Update for unbreakable enterprise kernel (ELSA-2025-28048)</t>
  </si>
  <si>
    <t>CVE-2025-39911,CVE-2025-39955,CVE-2025-40070,CVE-2025-39953,CVE-2025-39998,CVE-2025-40194,CVE-2025-39913,CVE-2025-40190,CVE-2025-39880,CVE-2025-40026,CVE-2025-39885,CVE-2025-40140,CVE-2025-40020,CVE-2025-39883,CVE-2025-40021,CVE-2025-40186,CVE-2025-40022,CVE-2025-40187,CVE-2025-40109,CVE-2025-40027,CVE-2025-40105,CVE-2025-23143,CVE-2025-39945,CVE-2025-40183,CVE-2025-39949,CVE-2025-40134,CVE-2025-40178,CVE-2025-40179,CVE-2025-40173,CVE-2025-39996,CVE-2025-40053,CVE-2025-39993,CVE-2025-39994,CVE-2025-40011,CVE-2025-40055,CVE-2025-40018,CVE-2025-40019,CVE-2025-40092,CVE-2025-40094,CVE-2025-40171,CVE-2025-39980,CVE-2025-40001,CVE-2025-40167,CVE-2025-40200,CVE-2025-40048,CVE-2025-40125,CVE-2025-40085,CVE-2025-40042,CVE-2025-40087,CVE-2025-40120,CVE-2025-40044,CVE-2025-40121,CVE-2025-22058,CVE-2025-40049,CVE-2025-40006,CVE-2025-40204,CVE-2025-40205,CVE-2024-43877,CVE-2025-38678,CVE-2025-40081,CVE-2024-43876,CVE-2025-39923,CVE-2025-39967,CVE-2025-39964,CVE-2025-39968,CVE-2025-39969,CVE-2025-40078,CVE-2025-40111,CVE-2025-39970,CVE-2025-40035,CVE-2025-39973,CVE-2025-40030,CVE-2025-39971,CVE-2025-40153,CVE-2025-40197,CVE-2025-39972,CVE-2025-40154,CVE-2025-40115,CVE-2025-40118</t>
  </si>
  <si>
    <t>Oracle Enterprise Linux Security Update for curl (ELSA-2025-23383)</t>
  </si>
  <si>
    <t>CVE-2025-9086</t>
  </si>
  <si>
    <t>Oracle Enterprise Linux Security Update for libpng (ELSA-2026-0241)</t>
  </si>
  <si>
    <t>CVE-2025-64720,CVE-2025-65018,CVE-2025-66293</t>
  </si>
  <si>
    <t>Oracle Enterprise Linux Security Update for Open Secure Sockets Layer (OpenSSL) (ELSA-2026-0337)</t>
  </si>
  <si>
    <t>CVE-2025-9230</t>
  </si>
  <si>
    <t>Oracle Enterprise Linux Security Update for unbreakable enterprise kernel (ELSA-2026-50007)</t>
  </si>
  <si>
    <t>CVE-2025-40250,CVE-2025-38678,CVE-2025-40280,CVE-2025-39810,CVE-2025-40271,CVE-2025-40248,CVE-2025-38085</t>
  </si>
  <si>
    <t>Oracle Enterprise Linux Security Update for gnupg2 (ELSA-2026-0728)</t>
  </si>
  <si>
    <t>CVE-2025-68973</t>
  </si>
  <si>
    <t>Oracle Enterprise Linux Security Update for glib2 (ELSA-2026-0991)</t>
  </si>
  <si>
    <t>CVE-2025-13601</t>
  </si>
  <si>
    <t>Oracle Enterprise Linux Security Update for unbreakable enterprise kernel (ELSA-2026-50095)</t>
  </si>
  <si>
    <t>CVE-2025-38571,CVE-2025-38566,CVE-2025-40258,CVE-2025-68209,CVE-2025-40215</t>
  </si>
  <si>
    <t>Oracle Enterprise Linux Security Update for brotli (ELSA-2026-2389)</t>
  </si>
  <si>
    <t>CVE-2025-6176</t>
  </si>
  <si>
    <t>Oracle Enterprise Linux Security Update for unbreakable enterprise kernel (ELSA-2026-50113)</t>
  </si>
  <si>
    <t>CVE-2025-68241,CVE-2025-68285,CVE-2025-68286,CVE-2025-68287,CVE-2025-40271,CVE-2025-68200,CVE-2025-68244,CVE-2025-68288,CVE-2025-68321,CVE-2025-68284,CVE-2025-40342,CVE-2025-40343,CVE-2025-40345,CVE-2025-40261,CVE-2025-68312,CVE-2025-40263,CVE-2025-40264,CVE-2025-40308,CVE-2025-40309,CVE-2025-40269,CVE-2025-40304,CVE-2025-68330,CVE-2025-68331,CVE-2025-68295,CVE-2025-40254,CVE-2025-40331,CVE-2025-40211,CVE-2025-68327,CVE-2025-40257,CVE-2025-68245,CVE-2025-68289,CVE-2025-40252,CVE-2025-68325,CVE-2025-40258,CVE-2025-68209,CVE-2025-40215,CVE-2025-40259,CVE-2025-68185,CVE-2024-47666,CVE-2025-21888,CVE-2025-38571,CVE-2025-40321,CVE-2025-68734,CVE-2025-40322,CVE-2025-40283,CVE-2025-40360,CVE-2025-40363,CVE-2018-1000204,CVE-2025-40324,CVE-2025-40248,CVE-2024-37354,CVE-2025-68191,CVE-2025-68192,CVE-2025-40280,CVE-2025-40083,CVE-2025-40281,CVE-2025-38239,CVE-2025-40040,CVE-2025-68194,CVE-2025-40034,CVE-2025-68227,CVE-2025-68821,CVE-2025-40277,CVE-2025-68229,CVE-2025-40279,CVE-2025-40272,CVE-2025-40273,CVE-2025-68301,CVE-2025-38566,CVE-2025-40275,CVE-2025-40319,CVE-2025-68308</t>
  </si>
  <si>
    <t>Oracle Enterprise Linux Security Update for Open Secure Sockets Layer (OpenSSL) (ELSA-2026-3042)</t>
  </si>
  <si>
    <t>CVE-2025-69419</t>
  </si>
  <si>
    <t>Oracle Enterprise Linux Security Update for unbreakable enterprise kernel (ELSA-2026-50133)</t>
  </si>
  <si>
    <t>CVE-2025-40256,CVE-2025-40149</t>
  </si>
  <si>
    <t>Oracle Enterprise Linux Security Update for unbreakable enterprise kernel (ELSA-2026-50145)</t>
  </si>
  <si>
    <t>CVE-2025-71093,CVE-2026-23021,CVE-2025-71091,CVE-2026-23020,CVE-2025-22121,CVE-2025-68362,CVE-2025-68364,CVE-2025-22119,CVE-2025-68757,CVE-2025-37860,CVE-2025-71127,CVE-2025-71125,CVE-2025-22111,CVE-2026-23139,CVE-2025-71087,CVE-2025-71120,CVE-2025-68759,CVE-2025-71085,CVE-2025-71084,CVE-2025-71083,CVE-2026-23133,CVE-2026-23011,CVE-2026-23099,CVE-2026-23097,CVE-2026-23091,CVE-2025-68254,CVE-2025-68771,CVE-2025-68255,CVE-2025-68372,CVE-2025-38022,CVE-2025-68366,CVE-2025-68367,CVE-2025-68764,CVE-2025-71133,CVE-2025-71132,CVE-2025-71098,CVE-2025-71131,CVE-2025-68803,CVE-2025-71097,CVE-2026-23125,CVE-2025-71096,CVE-2026-23003,CVE-2026-23124,CVE-2025-71094,CVE-2026-23001,CVE-2026-23089,CVE-2026-23121,CVE-2026-23087,CVE-2026-23120,CVE-2025-71190,CVE-2026-23085,CVE-2026-23084,CVE-2025-22022,CVE-2025-68337,CVE-2025-71108,CVE-2025-38057,CVE-2025-71104,CVE-2024-49968,CVE-2025-68732,CVE-2026-23119,CVE-2025-71068,CVE-2025-71066,CVE-2025-71182,CVE-2026-23111,CVE-2025-71082,CVE-2026-23076,CVE-2026-23074,CVE-2026-23073,CVE-2026-23071,CVE-2025-38556,CVE-2025-68354,CVE-2025-68349,CVE-2025-68746,CVE-2025-71118,CVE-2025-21979,CVE-2025-68740,CVE-2025-71116,CVE-2025-68346,CVE-2025-71114,CVE-2025-40110,CVE-2025-71113,CVE-2026-23108,CVE-2025-71111,CVE-2025-71077,CVE-2026-23105,CVE-2025-71197,CVE-2025-71075,CVE-2026-23103,CVE-2025-71194,CVE-2026-23101,CVE-2024-40928,CVE-2026-23061,CVE-2026-23060,CVE-2025-68282,CVE-2024-46830,CVE-2025-38232,CVE-2025-68795,CVE-2025-40149,CVE-2026-23058,CVE-2025-38591,CVE-2024-36927,CVE-2025-68211,CVE-2025-40256,CVE-2025-68724,CVE-2025-68725,CVE-2024-26655,CVE-2026-23209,CVE-2026-22999,CVE-2026-22998,CVE-2026-22997,CVE-2026-23049,CVE-2026-23202,CVE-2026-22992,CVE-2026-23047,CVE-2026-22991,CVE-2026-22990,CVE-2026-23164,CVE-2025-38007,CVE-2025-68780,CVE-2025-68264,CVE-2025-68782,CVE-2025-38129,CVE-2025-68783,CVE-2025-68261,CVE-2025-68813,CVE-2025-40164,CVE-2025-71147,CVE-2026-22988,CVE-2025-68776,CVE-2025-71146,CVE-2025-68818,CVE-2025-68819,CVE-2026-22984,CVE-2026-23038,CVE-2025-68815,CVE-2025-68816,CVE-2026-22980,CVE-2024-36903,CVE-2025-68788,CVE-2025-68785,CVE-2026-22978,CVE-2026-22977,CVE-2025-68820,CVE-2026-22976,CVE-2025-71154,CVE-2026-23146,CVE-2026-23145</t>
  </si>
  <si>
    <t>Oracle Enterprise Linux Security Update for libpng (ELSA-2026-4728)</t>
  </si>
  <si>
    <t>CVE-2026-25646,CVE-2026-22801,CVE-2026-22695</t>
  </si>
  <si>
    <t>Oracle Enterprise Linux Security Update for grub2 (ELSA-2026-4648)</t>
  </si>
  <si>
    <t>CVE-2025-61662</t>
  </si>
  <si>
    <t>Oracle Enterprise Linux Security Update for glibc (ELSA-2026-4772)</t>
  </si>
  <si>
    <t>CVE-2026-0915,CVE-2025-15281</t>
  </si>
  <si>
    <t>Oracle Enterprise Linux Security Update for unbreakable enterprise kernel bug fix update (ELSA-2026-50171)</t>
  </si>
  <si>
    <t>CVE-2026-23401</t>
  </si>
  <si>
    <t>Oracle Enterprise Linux Security Update for vim (ELSA-2026-6915)</t>
  </si>
  <si>
    <t>CVE-2026-28417,CVE-2026-33412,CVE-2026-28421</t>
  </si>
  <si>
    <t>Oracle Enterprise Linux Security Update for nghttp2 (ELSA-2026-7667)</t>
  </si>
  <si>
    <t>CVE-2026-27135</t>
  </si>
  <si>
    <t>Oracle Enterprise Linux Security Update for bind (ELSA-2026-8352)</t>
  </si>
  <si>
    <t>CVE-2026-1519</t>
  </si>
  <si>
    <t>Oracle Enterprise Linux Security Update for vim (ELSA-2026-11509)</t>
  </si>
  <si>
    <t>Oracle Enterprise Linux Security Update for sudo (ELSA-2026-11521)</t>
  </si>
  <si>
    <t>Oracle Enterprise Linux Security Update for unbreakable enterprise kernel (ELSA-2026-50253)</t>
  </si>
  <si>
    <t>CVE-2026-31431</t>
  </si>
  <si>
    <t>Oracle Enterprise Linux Security Update for libcap (ELSA-2026-13285)</t>
  </si>
  <si>
    <t>Oracle Enterprise Linux Security Update for openssh (ELSA-2026-13383)</t>
  </si>
  <si>
    <t>Oracle Enterprise Linux Security Update for unbreakable enterprise kernel (ELSA-2026-50257)</t>
  </si>
  <si>
    <t>CVE-2026-43284</t>
  </si>
  <si>
    <t>Oracle Enterprise Linux Security Update for unbreakable enterprise kernel (ELSA-2026-50261)</t>
  </si>
  <si>
    <t>CVE-2025-54518,CVE-2025-38109,CVE-2025-21867,CVE-2025-38551,CVE-2025-38113,CVE-2025-39721,CVE-2025-68798,CVE-2025-21783,CVE-2026-23059,CVE-2026-23296,CVE-2024-58078,CVE-2026-23173,CVE-2026-43284,CVE-2025-68770,CVE-2025-37888,CVE-2025-38735,CVE-2026-31411,CVE-2025-68171,CVE-2025-68371,CVE-2025-40056,CVE-2025-38020,CVE-2025-40135,CVE-2025-38385,CVE-2026-22994,CVE-2026-23401,CVE-2025-21997,CVE-2026-23243,CVE-2024-53230,CVE-2026-31628,CVE-2025-21808,CVE-2025-40292,CVE-2025-40051,CVE-2025-21723,CVE-2025-21724,CVE-2025-71148,CVE-2026-22989,CVE-2025-68775,CVE-2025-38015,CVE-2025-38455,CVE-2025-68259,CVE-2025-22017,CVE-2025-21720,CVE-2025-40129,CVE-2026-31431,CVE-2025-21857,CVE-2025-40157,CVE-2025-68741,CVE-2025-37873,CVE-2025-38246,CVE-2025-21892,CVE-2024-53231,CVE-2024-50043</t>
  </si>
  <si>
    <t>Oracle Enterprise Linux Security Update for unbreakable enterprise kernel (ELSA-2026-50275)</t>
  </si>
  <si>
    <t>CVE-2026-43284,CVE-2026-23193,CVE-2025-54518,CVE-2026-31431,CVE-2026-23216</t>
  </si>
  <si>
    <t>Oracle Enterprise Linux Security Update for libxslt (ELSA-2026-26355)</t>
  </si>
  <si>
    <t>Oracle Enterprise Linux Security Update for vim (ELSA-2026-28553)</t>
  </si>
  <si>
    <t>Oracle Enterprise Linux Security Update for python-urllib3 (ELSA-2026-36732)</t>
  </si>
  <si>
    <t>CVE-2026-44431</t>
  </si>
  <si>
    <t>Oracle Enterprise Linux Security Update for libgcrypt (ELSA-2026-47117)</t>
  </si>
  <si>
    <t>Oracle Enterprise Linux Security Update for openssh (ELSA-2026-47755)</t>
  </si>
  <si>
    <t>CVE-2026-55655,CVE-2026-55653</t>
  </si>
  <si>
    <t>Oracle Enterprise Linux Security Update for python-idna (ELSA-2026-54290)</t>
  </si>
  <si>
    <t>Oracle Enterprise Linux Security Update for pam (ELSA-2026-56131)</t>
  </si>
  <si>
    <t>CVE-2026-54411</t>
  </si>
  <si>
    <t>Oracle Enterprise Linux Security Update for nghttp2 (ELSA-2026-55804)</t>
  </si>
  <si>
    <t>Oracle Enterprise Linux Security Update for networkmanager (ELSA-2026-58555)</t>
  </si>
  <si>
    <t>Oracle Enterprise Linux Security Update for libssh (ELSA-2025-18286)</t>
  </si>
  <si>
    <t>CVE-2025-5318</t>
  </si>
  <si>
    <t>Oracle Enterprise Linux Security Update for libssh (ELSA-2025-21977)</t>
  </si>
  <si>
    <t>CVE-2025-5372</t>
  </si>
  <si>
    <t>Oracle Enterprise Linux Security Update for cups (ELSA-2025-22063)</t>
  </si>
  <si>
    <t>CVE-2025-58364</t>
  </si>
  <si>
    <t>Oracle Enterprise Linux Security Update for cups (ELSA-2026-0596)</t>
  </si>
  <si>
    <t>CVE-2025-61915,CVE-2025-58436</t>
  </si>
  <si>
    <t>Oracle Enterprise Linux Security Update for python-urllib3 (ELSA-2026-1254)</t>
  </si>
  <si>
    <t>CVE-2025-66418,CVE-2026-21441,CVE-2025-66471</t>
  </si>
  <si>
    <t>Oracle Enterprise Linux Security Update for python3 (ELSA-2026-1631)</t>
  </si>
  <si>
    <t>CVE-2025-12084</t>
  </si>
  <si>
    <t>Oracle Enterprise Linux Security Update for python3 (ELSA-2026-2128)</t>
  </si>
  <si>
    <t>CVE-2025-15366,CVE-2025-15367,CVE-2026-1299,CVE-2026-0865</t>
  </si>
  <si>
    <t>Oracle Enterprise Linux Security Update for util-linux (ELSA-2026-1852)</t>
  </si>
  <si>
    <t>CVE-2025-14104</t>
  </si>
  <si>
    <t>Oracle Enterprise Linux Security Update for Network File System (NFS)-utils (ELSA-2026-3938)</t>
  </si>
  <si>
    <t>CVE-2025-12801</t>
  </si>
  <si>
    <t>Oracle Enterprise Linux Security Update for vim (ELSA-2026-4442)</t>
  </si>
  <si>
    <t>CVE-2026-25749</t>
  </si>
  <si>
    <t>Oracle Enterprise Linux Security Update for python3 (ELSA-2026-5588)</t>
  </si>
  <si>
    <t>CVE-2025-0938</t>
  </si>
  <si>
    <t>Oracle Enterprise Linux Security Update for gnutls (ELSA-2026-5585)</t>
  </si>
  <si>
    <t>CVE-2025-9820,CVE-2025-14831</t>
  </si>
  <si>
    <t>Oracle Enterprise Linux Security Update for openssh (ELSA-2026-6461)</t>
  </si>
  <si>
    <t>CVE-2026-3497</t>
  </si>
  <si>
    <t>Oracle Enterprise Linux Security Update for python3 (ELSA-2026-6473)</t>
  </si>
  <si>
    <t>CVE-2026-4519</t>
  </si>
  <si>
    <t>Oracle Enterprise Linux Security Update for python3 (ELSA-2026-11077)</t>
  </si>
  <si>
    <t>CVE-2026-6100,CVE-2026-4786</t>
  </si>
  <si>
    <t>Oracle Enterprise Linux Security Update for libxml2 (ELSA-2026-11349)</t>
  </si>
  <si>
    <t>CVE-2025-9714</t>
  </si>
  <si>
    <t>Oracle Enterprise Linux Security Update for krb5 (ELSA-2026-16799)</t>
  </si>
  <si>
    <t>Oracle Enterprise Linux Security Update for libxml2 (ELSA-2026-36734)</t>
  </si>
  <si>
    <t>Oracle Enterprise Linux Security Update for python3 (ELSA-2026-56219)</t>
  </si>
  <si>
    <t>Oracle Enterprise Linux Security Update for openssh (ELSA-2025-23481)</t>
  </si>
  <si>
    <t>CVE-2025-61984,CVE-2025-61985</t>
  </si>
  <si>
    <t>60 findings | 180 total detections</t>
  </si>
  <si>
    <t>MongoDB Server Security Vulnerability (CVE-2026-8201)</t>
  </si>
  <si>
    <t>CVE-2026-8201</t>
  </si>
  <si>
    <t>MongoDB Server Security Vulnerability (CVE-2026-8053)</t>
  </si>
  <si>
    <t>CVE-2026-8053</t>
  </si>
  <si>
    <t>MongoDB Server Security Vulnerability (CVE-2026-9753)</t>
  </si>
  <si>
    <t>CVE-2026-9753</t>
  </si>
  <si>
    <t>MongoDB Server Security Vulnerability (CVE-2026-9740)</t>
  </si>
  <si>
    <t>CVE-2026-9740</t>
  </si>
  <si>
    <t>MongoDB Server Security Vulnerability (CVE-2026-13078)</t>
  </si>
  <si>
    <t>CVE-2026-13078</t>
  </si>
  <si>
    <t>MongoDB Server Security Vulnerability (CVE-2026-13077)</t>
  </si>
  <si>
    <t>CVE-2026-13077</t>
  </si>
  <si>
    <t>MongoDB Server Security Vulnerability (CVE-2026-13059)</t>
  </si>
  <si>
    <t>CVE-2026-13059</t>
  </si>
  <si>
    <t>MongoDB Server Security Vulnerability (CVE-2026-13072)</t>
  </si>
  <si>
    <t>CVE-2026-13072</t>
  </si>
  <si>
    <t>MongoDB Server Security Vulnerability (CVE-2026-18693)</t>
  </si>
  <si>
    <t>CVE-2026-18693</t>
  </si>
  <si>
    <t>MongoDB Server Security Vulnerability (CVE-2026-18691)</t>
  </si>
  <si>
    <t>CVE-2026-18691</t>
  </si>
  <si>
    <t>MongoDB Server Security Vulnerability (CVE-2026-18712)</t>
  </si>
  <si>
    <t>CVE-2026-18712</t>
  </si>
  <si>
    <t>MongoDB Server Security Vulnerability (CVE-2026-18697)</t>
  </si>
  <si>
    <t>CVE-2026-18697</t>
  </si>
  <si>
    <t>MongoDB Server Security Vulnerability (CVE-2026-18690)</t>
  </si>
  <si>
    <t>CVE-2026-18690</t>
  </si>
  <si>
    <t>MongoDB Server Security Vulnerability (CVE-2026-18694)</t>
  </si>
  <si>
    <t>CVE-2026-18694</t>
  </si>
  <si>
    <t>MongoDB Server Security Vulnerability (CVE-2026-18687)</t>
  </si>
  <si>
    <t>CVE-2026-18687</t>
  </si>
  <si>
    <t>MongoDB Server Security Vulnerability (CVE-2026-18688)</t>
  </si>
  <si>
    <t>CVE-2026-18688</t>
  </si>
  <si>
    <t>MongoDB Server Security Vulnerability (CVE-2026-18711)</t>
  </si>
  <si>
    <t>CVE-2026-18711</t>
  </si>
  <si>
    <t>MongoDB Server Security Vulnerability (CVE-2026-6914)</t>
  </si>
  <si>
    <t>CVE-2026-6914</t>
  </si>
  <si>
    <t>MongoDB Server Security Vulnerability (CVE-2026-6915)</t>
  </si>
  <si>
    <t>CVE-2026-6915</t>
  </si>
  <si>
    <t>MongoDB Server Security Vulnerability (CVE-2026-8199)</t>
  </si>
  <si>
    <t>CVE-2026-8199</t>
  </si>
  <si>
    <t>MongoDB Server Security Vulnerability (CVE-2026-8843)</t>
  </si>
  <si>
    <t>CVE-2026-8843</t>
  </si>
  <si>
    <t>MongoDB Server Security Vulnerability (CVE-2026-9748)</t>
  </si>
  <si>
    <t>CVE-2026-9748</t>
  </si>
  <si>
    <t>MongoDB Server Security Vulnerability (CVE-2026-9741)</t>
  </si>
  <si>
    <t>CVE-2026-9741</t>
  </si>
  <si>
    <t>MongoDB Server Security Vulnerability (CVE-2026-9751)</t>
  </si>
  <si>
    <t>CVE-2026-9751</t>
  </si>
  <si>
    <t>MongoDB Server Security Vulnerability (CVE-2026-9747)</t>
  </si>
  <si>
    <t>CVE-2026-9747</t>
  </si>
  <si>
    <t>MongoDB Server Security Vulnerability (CVE-2026-9749)</t>
  </si>
  <si>
    <t>CVE-2026-9749</t>
  </si>
  <si>
    <t>MongoDB Server Security Vulnerability (CVE-2026-9746)</t>
  </si>
  <si>
    <t>CVE-2026-9746</t>
  </si>
  <si>
    <t>MongoDB Server Security Vulnerability (CVE-2026-9743)</t>
  </si>
  <si>
    <t>CVE-2026-9743</t>
  </si>
  <si>
    <t>MongoDB Server Security Vulnerability (CVE-2026-9752)</t>
  </si>
  <si>
    <t>CVE-2026-9752</t>
  </si>
  <si>
    <t>MongoDB Server Security Vulnerability (CVE-2026-9750)</t>
  </si>
  <si>
    <t>CVE-2026-9750</t>
  </si>
  <si>
    <t>MongoDB Server Security Vulnerability (CVE-2026-13067)</t>
  </si>
  <si>
    <t>CVE-2026-13067</t>
  </si>
  <si>
    <t>MongoDB Server Security Vulnerability (CVE-2026-13060)</t>
  </si>
  <si>
    <t>CVE-2026-13060</t>
  </si>
  <si>
    <t>MongoDB Server Security Vulnerability (CVE-2026-9737)</t>
  </si>
  <si>
    <t>CVE-2026-9737</t>
  </si>
  <si>
    <t>MongoDB Server Security Vulnerability (CVE-2026-13062)</t>
  </si>
  <si>
    <t>CVE-2026-13062</t>
  </si>
  <si>
    <t>MongoDB Server Security Vulnerability (CVE-2026-13069)</t>
  </si>
  <si>
    <t>CVE-2026-13069</t>
  </si>
  <si>
    <t>MongoDB Server Security Vulnerability (CVE-2026-13055)</t>
  </si>
  <si>
    <t>CVE-2026-13055</t>
  </si>
  <si>
    <t>MongoDB Server Security Vulnerability (CVE-2026-13070)</t>
  </si>
  <si>
    <t>CVE-2026-13070</t>
  </si>
  <si>
    <t>MongoDB Server Security Vulnerability (CVE-2026-13071)</t>
  </si>
  <si>
    <t>CVE-2026-13071</t>
  </si>
  <si>
    <t>MongoDB Server Security Vulnerability (CVE-2026-13074)</t>
  </si>
  <si>
    <t>CVE-2026-13074</t>
  </si>
  <si>
    <t>MongoDB Server Security Vulnerability (CVE-2026-13058)</t>
  </si>
  <si>
    <t>CVE-2026-13058</t>
  </si>
  <si>
    <t>MongoDB Server Security Vulnerability (CVE-2026-13057)</t>
  </si>
  <si>
    <t>CVE-2026-13057</t>
  </si>
  <si>
    <t>MongoDB Server Security Vulnerability (CVE-2026-13056)</t>
  </si>
  <si>
    <t>CVE-2026-13056</t>
  </si>
  <si>
    <t>MongoDB Server Security Vulnerability (CVE-2026-13064)</t>
  </si>
  <si>
    <t>CVE-2026-13064</t>
  </si>
  <si>
    <t>MongoDB Server Security Vulnerability (CVE-2026-13065)</t>
  </si>
  <si>
    <t>CVE-2026-13065</t>
  </si>
  <si>
    <t>MongoDB Server Security Vulnerability (CVE-2026-13066)</t>
  </si>
  <si>
    <t>CVE-2026-13066</t>
  </si>
  <si>
    <t>MongoDB Server Security Vulnerability (CVE-2026-18701)</t>
  </si>
  <si>
    <t>CVE-2026-18701</t>
  </si>
  <si>
    <t>MongoDB Server Security Vulnerability (CVE-2026-18700)</t>
  </si>
  <si>
    <t>CVE-2026-18700</t>
  </si>
  <si>
    <t>MongoDB Server Security Vulnerability (CVE-2026-18696)</t>
  </si>
  <si>
    <t>CVE-2026-18696</t>
  </si>
  <si>
    <t>MongoDB Server Security Vulnerability (CVE-2026-18699)</t>
  </si>
  <si>
    <t>CVE-2026-18699</t>
  </si>
  <si>
    <t>MongoDB Server Security Vulnerability (CVE-2026-18695)</t>
  </si>
  <si>
    <t>CVE-2026-18695</t>
  </si>
  <si>
    <t>MongoDB Server Security Vulnerability (CVE-2026-18698)</t>
  </si>
  <si>
    <t>CVE-2026-18698</t>
  </si>
  <si>
    <t>MongoDB Server Security Vulnerability (CVE-2026-18702)</t>
  </si>
  <si>
    <t>CVE-2026-18702</t>
  </si>
  <si>
    <t>MongoDB Server Security Vulnerability (CVE-2026-18709)</t>
  </si>
  <si>
    <t>CVE-2026-18709</t>
  </si>
  <si>
    <t>MongoDB Server Security Vulnerability (CVE-2026-18708)</t>
  </si>
  <si>
    <t>CVE-2026-18708</t>
  </si>
  <si>
    <t>MongoDB Server Security Vulnerability (CVE-2026-18705)</t>
  </si>
  <si>
    <t>CVE-2026-18705</t>
  </si>
  <si>
    <t>MongoDB Server Security Vulnerability (CVE-2026-8202)</t>
  </si>
  <si>
    <t>CVE-2026-8202</t>
  </si>
  <si>
    <t>MongoDB Server Security Vulnerability (CVE-2026-8200)</t>
  </si>
  <si>
    <t>CVE-2026-8200</t>
  </si>
  <si>
    <t>MongoDB Server Security Vulnerability (CVE-2026-13068)</t>
  </si>
  <si>
    <t>CVE-2026-13068</t>
  </si>
  <si>
    <t>MongoDB Server Security Vulnerability (CVE-2026-13061)</t>
  </si>
  <si>
    <t>CVE-2026-13061</t>
  </si>
  <si>
    <t>MongoDB Server Security Vulnerability (CVE-2026-13073)</t>
  </si>
  <si>
    <t>CVE-2026-13073</t>
  </si>
  <si>
    <t>20 findings | 160 total detections</t>
  </si>
  <si>
    <t>Oracle MySQL Server January 2025 Critical Patch Update (CPUJAN2025) (prior to 8.0.40,8.4.3,9.1.0)</t>
  </si>
  <si>
    <t>CVE-2025-21525,CVE-2025-21536,CVE-2025-21504,CVE-2024-37371,CVE-2025-21494,CVE-2025-21521,CVE-2025-21534</t>
  </si>
  <si>
    <t>Oracle MySQL July 2022 Critical Patch Update (CPUJUL2022)</t>
  </si>
  <si>
    <t>CVE-2022-21525,CVE-2022-21547,CVE-2022-21569,CVE-2022-21527,CVE-2022-21538,CVE-2022-21515,CVE-2022-21526,CVE-2022-21537,CVE-2022-21455,CVE-2022-21531,CVE-2022-21553,CVE-2022-21556,CVE-2022-21534,CVE-2022-21522,CVE-2022-21529,CVE-2022-21517,CVE-2022-21528,CVE-2022-21539,CVE-2022-21509,CVE-2018-25032,CVE-2022-27778,CVE-2022-1292,CVE-2022-21530</t>
  </si>
  <si>
    <t>Oracle MySQL JAN 2024 Critical Patch Update (CPUJAN2024)</t>
  </si>
  <si>
    <t>CVE-2023-39975,CVE-2024-20981,CVE-2024-20960,CVE-2024-20982,CVE-2024-20963,CVE-2024-20985,CVE-2024-20964,CVE-2024-20961,CVE-2024-20983,CVE-2024-20962,CVE-2024-20984,CVE-2024-20967,CVE-2024-20968,CVE-2024-20965,CVE-2024-20966,CVE-2024-20969,CVE-2023-5363,CVE-2024-20970,CVE-2024-20971,CVE-2024-20974,CVE-2024-20975,CVE-2024-20972,CVE-2024-20973,CVE-2024-20978,CVE-2024-20976,CVE-2024-20977</t>
  </si>
  <si>
    <t>Oracle MySQL JULY 2024 Critical Patch Update (CPUJUL2024)</t>
  </si>
  <si>
    <t>CVE-2024-21160,CVE-2024-21171,CVE-2024-21142,CVE-2024-21165,CVE-2024-21176,CVE-2024-21162,CVE-2024-21173,CVE-2024-21130,CVE-2024-21163,CVE-2024-21135,CVE-2024-21157,CVE-2024-21179,CVE-2024-21125,CVE-2024-21166,CVE-2024-21177,CVE-2024-21134,CVE-2024-20996,CVE-2024-21129,CVE-2024-21137,CVE-2024-21159,CVE-2024-21127</t>
  </si>
  <si>
    <t>Oracle MySQL Server October 2024 Critical Patch Update (CPUOCT2024)</t>
  </si>
  <si>
    <t>CVE-2024-7264,CVE-2024-21241,CVE-2024-21212,CVE-2024-21213,CVE-2024-21199,CVE-2024-21232,CVE-2024-21238,CVE-2024-21239,CVE-2024-21236,CVE-2024-21237,CVE-2024-21218,CVE-2024-21219,CVE-2024-21193,CVE-2024-21194,CVE-2024-21197,CVE-2024-21230,CVE-2024-21198,CVE-2024-21231,CVE-2024-21196,CVE-2024-21201,CVE-2024-21243,CVE-2024-21200,CVE-2024-21244,CVE-2024-5535,CVE-2024-21203,CVE-2024-21247,CVE-2024-21204,CVE-2024-21209,CVE-2024-21207</t>
  </si>
  <si>
    <t>Oracle MySQL Server July 2025 Critical Patch Update (CPUJUL2025)</t>
  </si>
  <si>
    <t>CVE-2025-50097,CVE-2025-50076,CVE-2025-53023,CVE-2025-50098,CVE-2025-50095,CVE-2025-50096,CVE-2025-50079,CVE-2025-50077,CVE-2025-50099,CVE-2025-50078,CVE-2025-50082,CVE-2025-50083,CVE-2025-50080,CVE-2025-50081,CVE-2025-50086,CVE-2025-50087,CVE-2025-50084,CVE-2025-53032,CVE-2025-50085,CVE-2025-50101,CVE-2025-50102,CVE-2025-50088,CVE-2025-50089,CVE-2025-50100,CVE-2025-50103,CVE-2025-50104,CVE-2025-5399,CVE-2025-50093,CVE-2025-50094,CVE-2025-50091,CVE-2025-50092</t>
  </si>
  <si>
    <t>Oracle MySQL Server October 2025 Critical Patch Update (CPUOCT2025)</t>
  </si>
  <si>
    <t>CVE-2025-53045,CVE-2025-53067,CVE-2025-53044,CVE-2025-53054,CVE-2025-53069,CVE-2025-53053,CVE-2025-53042,CVE-2025-53062,CVE-2025-53040</t>
  </si>
  <si>
    <t>Oracle MySQL Server January 2026 Critical Patch Update (CPUJAN2026)</t>
  </si>
  <si>
    <t>CVE-2025-6965,CVE-2026-21929,CVE-2026-21937,CVE-2026-21948,CVE-2026-21949,CVE-2026-21968,CVE-2026-21936,CVE-2026-21964,CVE-2026-21965,CVE-2026-21952,CVE-2026-21941,CVE-2026-21950,CVE-2025-9230</t>
  </si>
  <si>
    <t>Oracle MySQL Server April 2026 Critical Patch Update (CPUAPR2026)</t>
  </si>
  <si>
    <t>CVE-2025-14017,CVE-2026-34278,CVE-2025-15467,CVE-2026-34276,CVE-2026-22009,CVE-2026-21998,CVE-2026-22005,CVE-2026-22004,CVE-2026-22002,CVE-2026-22001,CVE-2026-34308,CVE-2026-35239,CVE-2026-34304,CVE-2026-35237,CVE-2026-34303,CVE-2026-35238,CVE-2026-34267,CVE-2026-35235,CVE-2026-35236,CVE-2026-35234,CVE-2026-34272,CVE-2026-35240,CVE-2026-34270,CVE-2026-34271,CVE-2026-34293,CVE-2026-22017,CVE-2026-22015</t>
  </si>
  <si>
    <t>Oracle MySQL April 2022 Critical Patch Update (CPUAPR2022)</t>
  </si>
  <si>
    <t>CVE-2022-21415,CVE-2022-21437,CVE-2022-21459,CVE-2022-21414,CVE-2022-21436,CVE-2022-21417,CVE-2022-21438,CVE-2022-21454,CVE-2022-21413,CVE-2022-21435,CVE-2022-21457,CVE-2022-21479,CVE-2022-21412,CVE-2022-21478,CVE-2022-0778,CVE-2022-21418,CVE-2022-21440,CVE-2022-21462,CVE-2022-21460,CVE-2022-21425,CVE-2022-21427,CVE-2022-21444,CVE-2022-21423,CVE-2022-21451,CVE-2021-22570,CVE-2022-21452</t>
  </si>
  <si>
    <t>Oracle MySQL October 2022 Critical Patch Update (CPUOCT2022)</t>
  </si>
  <si>
    <t>CVE-2022-21635,CVE-2022-21637,CVE-2022-2097,CVE-2022-21611,CVE-2022-21633,CVE-2022-21599,CVE-2022-21632,CVE-2022-21617,CVE-2022-21638,CVE-2022-39400,CVE-2022-21640,CVE-2022-21604,CVE-2022-21625,CVE-2022-21641,CVE-2022-21589,CVE-2022-21600,CVE-2022-21605,CVE-2022-21608,CVE-2022-39410,CVE-2022-21607,CVE-2022-39408,CVE-2022-21594,CVE-2022-21595,CVE-2022-21592</t>
  </si>
  <si>
    <t>Oracle MySQL January 2023 Critical Patch Update (CPUJAN2023)</t>
  </si>
  <si>
    <t>CVE-2023-21868,CVE-2023-21869,CVE-2023-21864,CVE-2023-21865,CVE-2023-21887,CVE-2023-21866,CVE-2023-21867,CVE-2023-21882,CVE-2023-21883,CVE-2023-21840,CVE-2023-21863,CVE-2023-21870,CVE-2023-21879,CVE-2023-21836,CVE-2023-21875,CVE-2023-21876,CVE-2022-32221,CVE-2023-21877,CVE-2023-21878,CVE-2023-21871,CVE-2023-21872,CVE-2023-21873,CVE-2023-21874,CVE-2023-21880,CVE-2023-21881</t>
  </si>
  <si>
    <t>Oracle MySQL April 2023 Critical Patch Update (CPUAPR2023)</t>
  </si>
  <si>
    <t>CVE-2023-21929,CVE-2023-21945,CVE-2023-21946,CVE-2023-21947,CVE-2023-21963,CVE-2023-21920,CVE-2023-21966,CVE-2023-21982,CVE-2023-21962,CVE-2023-21940,CVE-2022-43551,CVE-2023-21917,CVE-2023-21919,CVE-2023-21912,CVE-2023-21935,CVE-2023-21913,CVE-2023-21953,CVE-2023-21976,CVE-2023-21911,CVE-2023-21933,CVE-2023-21977,CVE-2023-21955,CVE-2022-37434,CVE-2023-21972,CVE-2023-0215,CVE-2023-21980</t>
  </si>
  <si>
    <t>Oracle MySQL July 2023 Critical Patch Update (CPUJULY2023)</t>
  </si>
  <si>
    <t>CVE-2023-22007,CVE-2023-22008,CVE-2023-22058,CVE-2023-22048,CVE-2023-21950,CVE-2023-22005,CVE-2023-22038,CVE-2023-22054,CVE-2023-22033,CVE-2023-22056,CVE-2023-22046,CVE-2023-22057,CVE-2023-22053</t>
  </si>
  <si>
    <t>Oracle MySQL OCT 2023 Critical Patch Update (CPUOCT2023)</t>
  </si>
  <si>
    <t>CVE-2023-38545,CVE-2023-22113,CVE-2023-22015,CVE-2023-22059,CVE-2023-22114,CVE-2023-22115,CVE-2023-22065,CVE-2023-22066,CVE-2023-22068,CVE-2023-22084,CVE-2023-22064,CVE-2023-22026,CVE-2023-22103,CVE-2023-22104,CVE-2023-22028,CVE-2023-22032,CVE-2023-22110,CVE-2023-22111,CVE-2023-22078,CVE-2023-22079,CVE-2023-22112,CVE-2023-22095,CVE-2023-22097,CVE-2023-2650,CVE-2023-22070,CVE-2023-22092</t>
  </si>
  <si>
    <t>Oracle MySQL APRIL 2024 Critical Patch Update (CPUAPR2024)</t>
  </si>
  <si>
    <t>CVE-2024-21062,CVE-2024-21060,CVE-2024-21087,CVE-2024-21000,CVE-2024-21015,CVE-2024-21056,CVE-2024-21013,CVE-2024-21057,CVE-2023-6129,CVE-2024-21050,CVE-2024-21051,CVE-2024-21054,CVE-2024-21055,CVE-2024-21096,CVE-2024-21052,CVE-2024-21053,CVE-2024-21047,CVE-2024-21069,CVE-2024-21102,CVE-2024-20993,CVE-2024-21008,CVE-2024-20994,CVE-2024-21049,CVE-2024-20998,CVE-2024-21009</t>
  </si>
  <si>
    <t>Oracle MySQL Server January 2025 Critical Patch Update (CPUJAN2025) (prior to 8.0.37,8.4.1)</t>
  </si>
  <si>
    <t>CVE-2025-21492</t>
  </si>
  <si>
    <t>Oracle MySQL Server January 2025 Critical Patch Update (CPUJAN2025) (prior to 8.0.41,8.4.4,9.2.0)</t>
  </si>
  <si>
    <t>CVE-2025-21490,CVE-2025-21491,CVE-2025-21503,CVE-2025-21559,CVE-2025-21505,CVE-2025-21518,CVE-2025-21529,CVE-2025-21519,CVE-2024-11053,CVE-2025-21495,CVE-2025-21540,CVE-2025-21497,CVE-2025-21520,CVE-2025-21531,CVE-2025-21543,CVE-2025-21500,CVE-2025-21522,CVE-2025-21555,CVE-2025-21501,CVE-2025-21523,CVE-2025-21546</t>
  </si>
  <si>
    <t>Oracle MySQL Server January 2025 Critical Patch Update (CPUJAN2025) (prior to 8.0.41,8.4.3)</t>
  </si>
  <si>
    <t>CVE-2021-37519</t>
  </si>
  <si>
    <t>Oracle MySQL Server April 2025 Critical Patch Update (CPUAPR2025) (8.0.42, 8.4.5, 9.3.0)</t>
  </si>
  <si>
    <t>CVE-2025-30687,CVE-2025-30684,CVE-2025-30685,CVE-2025-30682,CVE-2025-30683,CVE-2025-30681,CVE-2025-30705,CVE-2025-30703,CVE-2025-30704,CVE-2025-30688,CVE-2025-30721,CVE-2025-30689,CVE-2025-30722,CVE-2025-21584,CVE-2025-21585,CVE-2025-21588,CVE-2025-30695,CVE-2025-30696,CVE-2025-30693,CVE-2025-21580,CVE-2025-21581,CVE-2025-30715,CVE-2025-30699,CVE-2024-13176,CVE-2025-21574,CVE-2025-21575,CVE-2025-21577,CVE-2025-21579</t>
  </si>
  <si>
    <t>8 findings | 130 total detections</t>
  </si>
  <si>
    <t>Built-in Guest Account Not Renamed at Windows Target System</t>
  </si>
  <si>
    <t>Pending Reboot Detected</t>
  </si>
  <si>
    <t>Windows Unquoted/Trusted Service Paths Privilege Escalation Security Issue</t>
  </si>
  <si>
    <t>Enabled Cached Logon Credential</t>
  </si>
  <si>
    <t>Unused Active Windows Accounts Found</t>
  </si>
  <si>
    <t>Microsoft Guidance for LDAP Channel Binding Missing (ADV190023)</t>
  </si>
  <si>
    <t>Microsoft Guidance for Enabling LDAP Signing Missing (ADV190023)</t>
  </si>
  <si>
    <t>World-Writable Directories Should Have Their Sticky Bits Set</t>
  </si>
  <si>
    <t>1 findings | 62 total detections</t>
  </si>
  <si>
    <t>7-Zip Mark-of-the-Web Security Feature Bypass Vulnerability (CVE-2026-58052)</t>
  </si>
  <si>
    <t>CVE-2026-58052</t>
  </si>
  <si>
    <t>22 findings | 22 total detections</t>
  </si>
  <si>
    <t>Mozilla Firefox Multiple Vulnerabilities (MFSA2025-87)</t>
  </si>
  <si>
    <t>CVE-2025-13017,CVE-2025-13027,CVE-2025-13016,CVE-2025-13015,CVE-2025-13026,CVE-2025-13014,CVE-2025-13025,CVE-2025-13019,CVE-2025-13018,CVE-2025-13020,CVE-2025-13024,CVE-2025-13013,CVE-2025-13023,CVE-2025-13012,CVE-2025-13022,CVE-2025-13021</t>
  </si>
  <si>
    <t>Mozilla Firefox Multiple Vulnerabilities (MFSA2026-01)</t>
  </si>
  <si>
    <t>CVE-2026-0890,CVE-2026-0878,CVE-2026-0889,CVE-2026-0888,CVE-2026-0877,CVE-2026-0879,CVE-2026-0892,CVE-2026-0881,CVE-2026-0891,CVE-2026-0880,CVE-2026-0883,CVE-2026-0882,CVE-2026-0885,CVE-2026-0884,CVE-2026-0887,CVE-2026-0886</t>
  </si>
  <si>
    <t>Mozilla Firefox Multiple Vulnerabilities (MFSA2026-13)</t>
  </si>
  <si>
    <t>CVE-2026-2760,CVE-2026-2804,CVE-2026-2805,CVE-2026-2802,CVE-2026-2769,CVE-2026-2803,CVE-2026-2806,CVE-2026-2807,CVE-2026-2763,CVE-2026-2764,CVE-2026-2761,CVE-2026-2762,CVE-2026-2800,CVE-2026-2767,CVE-2026-2801,CVE-2026-2768,CVE-2026-2765,CVE-2026-2766,CVE-2026-2770,CVE-2026-2771,CVE-2026-2774,CVE-2026-2775,CVE-2026-2772,CVE-2026-2773,CVE-2026-2778,CVE-2026-2779,CVE-2026-2776,CVE-2026-2777,CVE-2026-2781,CVE-2026-2782,CVE-2026-2780,CVE-2026-2785,CVE-2026-2786,CVE-2026-2783,CVE-2026-2784,CVE-2026-2789,CVE-2026-2787,CVE-2026-2788,CVE-2026-2792,CVE-2026-2793,CVE-2026-2790,CVE-2026-2791,CVE-2026-2758,CVE-2026-2759,CVE-2026-2796,CVE-2026-2797,CVE-2026-2794,CVE-2026-2795,CVE-2026-2757,CVE-2026-2798,CVE-2026-2799</t>
  </si>
  <si>
    <t>Mozilla Firefox Multiple Vulnerabilities (MFSA2026-19)</t>
  </si>
  <si>
    <t>CVE-2026-3847,CVE-2026-3845,CVE-2026-3846</t>
  </si>
  <si>
    <t>Mozilla Firefox Multiple Vulnerabilities (MFSA2026-20)</t>
  </si>
  <si>
    <t>CVE-2026-4685,CVE-2026-4684,CVE-2026-4708,CVE-2026-4729,CVE-2026-4707,CVE-2026-4706,CVE-2026-4728,CVE-2026-4727,CVE-2026-4705,CVE-2026-4709,CVE-2026-4700,CVE-2026-4722,CVE-2026-4689,CVE-2026-4688,CVE-2026-4721,CVE-2026-4720,CVE-2026-4687,CVE-2025-59375,CVE-2026-4686,CVE-2026-4726,CVE-2026-4704,CVE-2026-4725,CVE-2026-4702,CVE-2026-4724,CVE-2026-4701,CVE-2026-4723,CVE-2026-4692,CVE-2026-4691,CVE-2026-4690,CVE-2026-4696,CVE-2026-4695,CVE-2026-4694,CVE-2026-4693,CVE-2026-4719,CVE-2026-4718,CVE-2026-4717,CVE-2026-4716,CVE-2026-4711,CVE-2026-4710,CVE-2026-4699,CVE-2026-4698,CVE-2026-4697,CVE-2026-4715,CVE-2026-4714,CVE-2026-4713,CVE-2026-4712</t>
  </si>
  <si>
    <t>Mozilla Firefox Multiple Vulnerabilities (MFSA2026-25)</t>
  </si>
  <si>
    <t>CVE-2026-5734,CVE-2026-5733,CVE-2026-5732,CVE-2026-5731,CVE-2026-5735</t>
  </si>
  <si>
    <t>Mozilla Firefox Multiple Vulnerabilities (MFSA2026-30)</t>
  </si>
  <si>
    <t>CVE-2026-6761,CVE-2026-6783,CVE-2026-6784,CVE-2026-6762,CVE-2026-6763,CVE-2026-6785,CVE-2026-6764,CVE-2026-6786,CVE-2026-6780,CVE-2026-6781,CVE-2026-6782,CVE-2026-6760,CVE-2026-6769,CVE-2026-6747,CVE-2026-6748,CVE-2026-6749,CVE-2026-6765,CVE-2026-6766,CVE-2026-6767,CVE-2026-6746,CVE-2026-6768,CVE-2026-6750,CVE-2026-6772,CVE-2026-6773,CVE-2026-6751,CVE-2026-6752,CVE-2026-6774,CVE-2026-6775,CVE-2026-6753,CVE-2026-6770,CVE-2026-6771,CVE-2026-6758,CVE-2026-6759,CVE-2026-6754,CVE-2026-6776,CVE-2026-6755,CVE-2026-6777,CVE-2026-6778,CVE-2026-6756,CVE-2026-6757,CVE-2026-6779</t>
  </si>
  <si>
    <t>Mozilla Firefox Multiple Vulnerabilities (MFSA2026-46)</t>
  </si>
  <si>
    <t>CVE-2026-8962,CVE-2026-8961,CVE-2026-8964,CVE-2026-8963,CVE-2026-8960,CVE-2026-8948,CVE-2026-8947,CVE-2026-8969,CVE-2026-8949,CVE-2026-8966,CVE-2026-8965,CVE-2026-8946,CVE-2026-8968,CVE-2026-8945,CVE-2026-8967,CVE-2026-8973,CVE-2026-8951,CVE-2026-8972,CVE-2026-8950,CVE-2026-8975,CVE-2026-8953,CVE-2026-8952,CVE-2026-8974,CVE-2026-8971,CVE-2026-8970,CVE-2026-8959,CVE-2026-8958,CVE-2026-8955,CVE-2026-8954,CVE-2026-8957,CVE-2026-8956</t>
  </si>
  <si>
    <t>Mozilla Firefox Multiple Vulnerabilities (MFSA2026-62)</t>
  </si>
  <si>
    <t>CVE-2026-14241</t>
  </si>
  <si>
    <t>Mozilla Firefox Multiple Vulnerabilities (MFSA2026-68)</t>
  </si>
  <si>
    <t>CVE-2026-16370,CVE-2026-16374,CVE-2026-16373,CVE-2026-16372,CVE-2026-16371,CVE-2026-16378,CVE-2026-16411,CVE-2026-16377,CVE-2026-16410,CVE-2026-16376,CVE-2026-16375,CVE-2026-16404,CVE-2026-16403,CVE-2026-16369,CVE-2026-16402,CVE-2026-16401,CVE-2026-16368,CVE-2026-16408,CVE-2026-16407,CVE-2026-16406,CVE-2026-16405,CVE-2026-16409,CVE-2026-16363,CVE-2026-16362,CVE-2026-16360,CVE-2026-16400,CVE-2026-16367,CVE-2026-16366,CVE-2026-16365,CVE-2026-16364,CVE-2026-16359,CVE-2026-16358,CVE-2026-16357,CVE-2026-16392,CVE-2026-16391,CVE-2026-16390,CVE-2026-16396,CVE-2026-16352,CVE-2026-16351,CVE-2026-16395,CVE-2026-16394,CVE-2026-16350,CVE-2026-16393,CVE-2026-16356,CVE-2026-16355,CVE-2026-16399,CVE-2026-16398,CVE-2026-16354,CVE-2026-16397,CVE-2026-16353,CVE-2026-16349,CVE-2026-16381,CVE-2026-16380,CVE-2026-16385,CVE-2026-16384,CVE-2026-16383,CVE-2026-16382,CVE-2026-16389,CVE-2026-16388,CVE-2026-16387,CVE-2026-16386,CVE-2026-16379,CVE-2026-16412</t>
  </si>
  <si>
    <t>Mozilla Firefox Multiple Vulnerabilities (MFSA2026-74)</t>
  </si>
  <si>
    <t>CVE-2026-74971,CVE-2026-74972,CVE-2026-74970,CVE-2026-74935,CVE-2026-74979,CVE-2026-74936,CVE-2026-74977,CVE-2026-74978,CVE-2026-74934,CVE-2026-74975,CVE-2026-74976,CVE-2026-74973,CVE-2026-74974,CVE-2026-74939,CVE-2026-74937,CVE-2026-74938,CVE-2026-75874,CVE-2026-74982,CVE-2026-74983,CVE-2026-74980,CVE-2026-74981,CVE-2026-74946,CVE-2026-74947,CVE-2026-74988,CVE-2026-74944,CVE-2026-74989,CVE-2026-74945,CVE-2026-74986,CVE-2026-74942,CVE-2026-74943,CVE-2026-74987,CVE-2026-74940,CVE-2026-74984,CVE-2026-74985,CVE-2026-74941,CVE-2026-74948,CVE-2026-74949,CVE-2026-74950,CVE-2026-74990,CVE-2026-74957,CVE-2026-74958,CVE-2026-74955,CVE-2026-74956,CVE-2026-74953,CVE-2026-74954,CVE-2026-74951,CVE-2026-74952,CVE-2026-74959,CVE-2026-74960,CVE-2026-74961,CVE-2026-74968,CVE-2026-74969,CVE-2026-74966,CVE-2026-74967,CVE-2026-74964,CVE-2026-74965,CVE-2026-74962,CVE-2026-74963</t>
  </si>
  <si>
    <t>Mozilla Firefox Multiple Vulnerabilities (MFSA2026-82)</t>
  </si>
  <si>
    <t>CVE-2026-84132,CVE-2026-84133,CVE-2026-84134,CVE-2026-84135,CVE-2026-84130,CVE-2026-84131,CVE-2026-84118,CVE-2026-84119,CVE-2026-84136,CVE-2026-84137,CVE-2026-84138,CVE-2026-84117,CVE-2026-84139,CVE-2026-84143,CVE-2026-84121,CVE-2026-84122,CVE-2026-84144,CVE-2026-84145,CVE-2026-84123,CVE-2026-84124,CVE-2026-84140,CVE-2026-84141,CVE-2026-84142,CVE-2026-84120,CVE-2026-84129,CVE-2026-84125,CVE-2026-84126,CVE-2026-84127,CVE-2026-84128</t>
  </si>
  <si>
    <t>Mozilla Firefox Multiple Vulnerabilities (MFSA2025-92)</t>
  </si>
  <si>
    <t>CVE-2025-14326,CVE-2025-14325,CVE-2025-14324,CVE-2025-14323,CVE-2025-14329,CVE-2025-14328,CVE-2025-14327,CVE-2025-14322,CVE-2025-14333,CVE-2025-14321,CVE-2025-14332,CVE-2025-14331,CVE-2025-14330</t>
  </si>
  <si>
    <t>Mozilla Firefox Multiple Vulnerabilities (MFSA2025-98)</t>
  </si>
  <si>
    <t>CVE-2025-14861,CVE-2025-14860</t>
  </si>
  <si>
    <t>Mozilla Firefox Multiple Vulnerabilities (MFSA2026-06)</t>
  </si>
  <si>
    <t>CVE-2026-24868,CVE-2026-24869</t>
  </si>
  <si>
    <t>Mozilla Firefox Multiple Vulnerability (MFSA2026-10)</t>
  </si>
  <si>
    <t>CVE-2026-2447</t>
  </si>
  <si>
    <t>Mozilla Firefox Multiple Vulnerabilities (MFSA2026-35)</t>
  </si>
  <si>
    <t>CVE-2026-7322,CVE-2026-7323,CVE-2026-7324,CVE-2026-7320</t>
  </si>
  <si>
    <t>Mozilla Firefox Multiple Vulnerabilities (MFSA2026-40)</t>
  </si>
  <si>
    <t>CVE-2026-8090,CVE-2026-8092,CVE-2026-8093</t>
  </si>
  <si>
    <t>Mozilla Firefox Multiple Vulnerabilities (MFSA2026-54)</t>
  </si>
  <si>
    <t>CVE-2026-10701,CVE-2026-10702</t>
  </si>
  <si>
    <t>Mozilla Firefox Multiple Vulnerabilities (MFSA2026-57)</t>
  </si>
  <si>
    <t>CVE-2026-12291,CVE-2026-12290,CVE-2026-12293,CVE-2026-12292,CVE-2026-12295,CVE-2026-12294,CVE-2026-12297,CVE-2026-12296,CVE-2026-12321,CVE-2026-12320,CVE-2026-12323,CVE-2026-12301,CVE-2026-12322,CVE-2026-12300,CVE-2026-12289,CVE-2026-12303,CVE-2026-12325,CVE-2026-12302,CVE-2026-12324,CVE-2026-12327,CVE-2026-12305,CVE-2026-12326,CVE-2026-12304,CVE-2026-12307,CVE-2026-12306,CVE-2026-12328,CVE-2026-12309,CVE-2026-12308,CVE-2026-12299,CVE-2026-12310,CVE-2026-12298,CVE-2026-12312,CVE-2026-12311,CVE-2026-12314,CVE-2026-12313,CVE-2026-12316,CVE-2026-12315,CVE-2026-12318,CVE-2026-12317,CVE-2026-12319</t>
  </si>
  <si>
    <t>Mozilla Firefox Multiple Vulnerabilities (MFSA2026-67)</t>
  </si>
  <si>
    <t>CVE-2026-15718,CVE-2026-15719</t>
  </si>
  <si>
    <t>Mozilla Firefox Multiple Vulnerabilities (MFSA2026-45)</t>
  </si>
  <si>
    <t>CVE-2026-8401,CVE-2026-8389,CVE-2026-8388,CVE-2026-8391,CVE-2026-8390</t>
  </si>
  <si>
    <t>11 findings | 18 total detections</t>
  </si>
  <si>
    <t>Microsoft Windows Server Security Update for August 2026</t>
  </si>
  <si>
    <t>CVE-2026-62908,CVE-2026-61939,CVE-2026-61938,CVE-2026-61937,CVE-2026-61936,CVE-2026-42976,CVE-2026-61934,CVE-2026-61933,CVE-2026-61932,CVE-2026-61930,CVE-2026-61929,CVE-2026-61928,CVE-2026-61927,CVE-2026-61926,CVE-2026-61925,CVE-2026-61924,CVE-2026-70304,CVE-2026-50472,CVE-2026-61365,CVE-2026-62696,CVE-2026-62695,CVE-2026-61364,CVE-2026-61363,CVE-2026-62692,CVE-2026-61361,CVE-2026-70307,CVE-2026-61360,CVE-2026-62690,CVE-2026-61923,CVE-2026-61921,CVE-2026-61920,CVE-2026-61368,CVE-2026-62699,CVE-2026-62698,CVE-2026-61367,CVE-2026-61366,CVE-2026-62807,CVE-2026-54984,CVE-2026-62803,CVE-2026-62800,CVE-2026-62915,CVE-2026-62912,CVE-2026-62910,CVE-2026-59136,CVE-2026-59137,CVE-2026-59138,CVE-2026-62784,CVE-2026-62783,CVE-2026-62782,CVE-2026-62781,CVE-2026-62780,CVE-2026-65814,CVE-2026-62788,CVE-2026-62787,CVE-2026-62786,CVE-2026-62785,CVE-2026-59125,CVE-2026-59126,CVE-2026-54113,CVE-2026-59127,CVE-2026-59128,CVE-2026-62773,CVE-2026-62894,CVE-2026-59132,CVE-2026-62893,CVE-2026-62892,CVE-2026-59134,CVE-2026-62771,CVE-2026-62770,CVE-2026-59135,CVE-2026-62890,CVE-2026-59130,CVE-2026-59131,CVE-2026-62779,CVE-2026-62778,CVE-2026-62777,CVE-2026-62776,CVE-2026-62774,CVE-2026-61918,CVE-2026-61353,CVE-2026-61352,CVE-2026-66802,CVE-2026-61350,CVE-2026-61359,CVE-2026-61358,CVE-2026-61357,CVE-2026-61356,CVE-2026-61355,CVE-2026-62795,CVE-2026-62793,CVE-2026-62792,CVE-2026-62790,CVE-2026-61349,CVE-2026-61348,CVE-2026-61347,CVE-2026-61346,CVE-2026-62798,CVE-2026-61345,CVE-2026-62797,CVE-2026-62796,CVE-2026-62749,CVE-2026-62740,CVE-2026-62748,CVE-2026-62747,CVE-2026-62746,CVE-2026-62745,CVE-2026-62743,CVE-2026-62742,CVE-2026-62741,CVE-2026-62739,CVE-2026-62738,CVE-2026-56179,CVE-2026-62737,CVE-2026-62736,CVE-2026-65681,CVE-2026-62735,CVE-2026-62734,CVE-2026-62733,CVE-2026-62732,CVE-2026-62730,CVE-2026-62883,CVE-2026-59122,CVE-2026-62761,CVE-2026-62881,CVE-2026-62880,CVE-2026-62769,CVE-2026-62889,CVE-2026-62768,CVE-2026-62888,CVE-2026-62766,CVE-2026-62887,CVE-2026-62885,CVE-2026-71331,CVE-2026-62751,CVE-2026-62750,CVE-2026-62758,CVE-2026-62757,CVE-2026-62878,CVE-2026-62877,CVE-2026-62755,CVE-2026-62876,CVE-2026-62754,CVE-2026-62753,CVE-2026-66799,CVE-2026-62752,CVE-2026-49179,CVE-2026-62709,CVE-2026-70330,CVE-2026-62708,CVE-2026-62707,CVE-2026-65777,CVE-2026-62703,CVE-2026-62824,CVE-2026-62702,CVE-2026-62823,CVE-2026-62822,CVE-2026-62701,CVE-2026-62700,CVE-2026-65774,CVE-2026-65773,CVE-2026-62820,CVE-2026-65776,CVE-2026-65775,CVE-2026-62819,CVE-2026-62818,CVE-2026-62817,CVE-2026-62816,CVE-2026-62815,CVE-2026-70346,CVE-2026-70347,CVE-2026-70344,CVE-2026-70345,CVE-2026-62814,CVE-2026-62812,CVE-2026-62811,CVE-2026-62729,CVE-2026-62728,CVE-2026-65679,CVE-2026-65799,CVE-2026-65678,CVE-2026-56174,CVE-2026-62726,CVE-2026-65671,CVE-2026-62725,CVE-2026-65791,CVE-2026-62724,CVE-2026-65794,CVE-2026-62723,CVE-2026-65672,CVE-2026-62722,CVE-2026-65796,CVE-2026-65795,CVE-2026-62721,CVE-2026-62720,CVE-2026-68820,CVE-2026-65798,CVE-2026-65797,CVE-2026-62719,CVE-2026-62718,CVE-2026-65790,CVE-2026-62717,CVE-2026-62716,CVE-2026-65789,CVE-2026-65788,CVE-2026-68819,CVE-2026-62715,CVE-2026-62714,CVE-2026-65662,CVE-2026-62713,CVE-2026-62712,CVE-2026-62711,CVE-2026-62832,CVE-2026-65785,CVE-2026-62710,CVE-2026-65784,CVE-2026-65787,CVE-2026-65786</t>
  </si>
  <si>
    <t>Microsoft Windows Server Security Update for July 2026</t>
  </si>
  <si>
    <t>CVE-2026-50366,CVE-2026-50488,CVE-2026-50367,CVE-2026-50489,CVE-2026-58528,CVE-2026-50360,CVE-2026-58526,CVE-2026-50362,CVE-2026-50483,CVE-2026-50363,CVE-2026-50365,CVE-2026-42975,CVE-2026-58530,CVE-2026-49807,CVE-2026-49808,CVE-2026-49805,CVE-2026-49806,CVE-2026-41087,CVE-2026-49802,CVE-2026-49800,CVE-2026-50477,CVE-2026-50356,CVE-2026-50357,CVE-2026-50479,CVE-2026-50358,CVE-2026-50359,CVE-2026-34328,CVE-2026-58635,CVE-2026-55003,CVE-2026-50470,CVE-2026-55000,CVE-2026-50471,CVE-2026-50351,CVE-2026-50473,CVE-2026-50352,CVE-2026-50353,CVE-2026-50474,CVE-2026-58632,CVE-2026-58640,CVE-2026-42982,CVE-2026-50388,CVE-2026-54989,CVE-2026-58546,CVE-2026-50380,CVE-2026-58547,CVE-2026-50381,CVE-2026-50382,CVE-2026-50383,CVE-2026-50384,CVE-2026-58543,CVE-2026-50385,CVE-2026-50386,CVE-2026-54982,CVE-2026-54983,CVE-2026-50387,CVE-2026-50390,CVE-2026-42990,CVE-2026-50498,CVE-2026-50499,CVE-2026-49169,CVE-2026-49166,CVE-2026-58539,CVE-2026-49164,CVE-2026-49162,CVE-2026-58535,CVE-2026-34348,CVE-2026-50490,CVE-2026-50370,CVE-2026-58536,CVE-2026-34349,CVE-2026-50491,CVE-2026-58537,CVE-2026-50493,CVE-2026-50494,CVE-2026-58532,CVE-2026-50495,CVE-2026-50374,CVE-2026-58533,CVE-2026-50496,CVE-2026-50375,CVE-2026-58534,CVE-2026-58540,CVE-2026-58609,CVE-2026-50323,CVE-2026-50686,CVE-2026-50444,CVE-2026-54128,CVE-2026-50687,CVE-2026-50324,CVE-2026-50688,CVE-2026-50447,CVE-2026-50689,CVE-2026-50328,CVE-2026-50329,CVE-2026-58608,CVE-2026-54122,CVE-2026-58602,CVE-2026-50680,CVE-2026-54121,CVE-2026-50681,CVE-2026-50682,CVE-2026-54127,CVE-2026-50683,CVE-2026-50441,CVE-2026-50684,CVE-2026-50321,CVE-2026-50442,CVE-2026-57085,CVE-2026-57084,CVE-2026-57083,CVE-2026-57089,CVE-2026-57088,CVE-2026-57087,CVE-2026-50311,CVE-2026-50674,CVE-2026-50432,CVE-2026-54119,CVE-2026-50433,CVE-2026-50435,CVE-2026-50436,CVE-2026-50437,CVE-2026-50316,CVE-2026-50439,CVE-2026-50318,CVE-2026-54111,CVE-2026-54112,CVE-2026-57982,CVE-2026-56650,CVE-2026-50670,CVE-2026-54115,CVE-2026-50430,CVE-2026-50672,CVE-2026-54114,CVE-2026-50431,CVE-2026-50465,CVE-2026-50344,CVE-2026-50466,CVE-2026-50345,CVE-2026-50346,CVE-2026-50347,CVE-2026-50348,CVE-2026-58627,CVE-2026-58629,CVE-2026-50460,CVE-2026-50340,CVE-2026-50461,CVE-2026-50462,CVE-2026-50341,CVE-2026-50697,CVE-2026-50455,CVE-2026-50334,CVE-2026-50459,CVE-2026-50339,CVE-2026-58613,CVE-2026-58614,CVE-2026-50690,CVE-2026-54132,CVE-2026-50692,CVE-2026-50330,CVE-2026-50451,CVE-2026-50694,CVE-2026-50695,CVE-2026-50453,CVE-2026-50332,CVE-2026-57095,CVE-2026-57094,CVE-2026-40422,CVE-2026-57093,CVE-2026-57097,CVE-2026-57092,CVE-2026-57090,CVE-2026-50400,CVE-2026-50402,CVE-2026-50403,CVE-2026-50405,CVE-2026-56189,CVE-2026-56188,CVE-2026-56194,CVE-2026-50407,CVE-2026-50409,CVE-2026-49784,CVE-2026-48572,CVE-2026-49783,CVE-2026-48571,CVE-2026-42900,CVE-2026-56182,CVE-2026-56181,CVE-2026-56184,CVE-2026-50518,CVE-2026-50300,CVE-2026-49795,CVE-2026-50421,CVE-2026-49796,CVE-2026-56649,CVE-2026-56648,CVE-2026-57979,CVE-2026-49793,CVE-2026-50424,CVE-2026-56647,CVE-2026-49794,CVE-2026-49791,CVE-2026-50667,CVE-2026-50425,CVE-2026-50304,CVE-2026-50305,CVE-2026-50426,CVE-2026-50668,CVE-2026-49792,CVE-2026-50669,CVE-2026-50427,CVE-2026-50306,CVE-2026-56644,CVE-2026-50661,CVE-2026-50420,CVE-2026-50429,CVE-2026-50308,CVE-2026-50309,CVE-2026-49788,CVE-2026-49789,CVE-2026-49787,CVE-2026-50410,CVE-2026-50411,CVE-2026-50412,CVE-2026-50655,CVE-2026-50414,CVE-2026-50416,CVE-2026-50417,CVE-2026-50418,CVE-2026-50419,CVE-2026-49798,CVE-2026-49177,CVE-2026-49178,CVE-2026-49176,CVE-2026-49171,CVE-2026-49172,CVE-2026-49170,CVE-2026-50399,CVE-2026-54997,CVE-2026-54991,CVE-2026-50392,CVE-2026-49183,CVE-2026-54992,CVE-2026-50393,CVE-2026-49181,CVE-2026-50394,CVE-2026-54995,CVE-2026-50396,CVE-2026-54996,CVE-2026-50397,CVE-2026-50398,CVE-2026-50500,CVE-2026-50502,CVE-2026-33842,CVE-2026-58594,CVE-2026-40378,CVE-2026-56175,CVE-2026-56173,CVE-2026-50294,CVE-2026-56155,CVE-2026-50295,CVE-2026-50296,CVE-2026-50298,CVE-2026-50299,CVE-2026-56159</t>
  </si>
  <si>
    <t>CVE-2026-50487,CVE-2026-48564,CVE-2026-50401,CVE-2026-50368,CVE-2026-50369,CVE-2026-50647,CVE-2026-50480,CVE-2026-58527,CVE-2026-50361,CVE-2026-50482,CVE-2026-50484,CVE-2026-50485,CVE-2026-50486,CVE-2026-49803,CVE-2026-49804,CVE-2026-49801,CVE-2026-56190,CVE-2026-50476,CVE-2026-50355,CVE-2026-50478,CVE-2026-58638,CVE-2026-58637,CVE-2026-55001,CVE-2026-50350,CVE-2026-55004,CVE-2026-50354,CVE-2026-50475,CVE-2026-44806,CVE-2026-44800,CVE-2026-56186,CVE-2026-50389,CVE-2026-50422,CVE-2026-54109,CVE-2026-50302,CVE-2026-50423,CVE-2026-54986,CVE-2026-50303,CVE-2026-54107,CVE-2026-54987,CVE-2026-50666,CVE-2026-50307,CVE-2026-49790,CVE-2026-58542,CVE-2026-57976,CVE-2026-58544,CVE-2026-56643,CVE-2026-58545,CVE-2026-49168,CVE-2026-50377,CVE-2026-50378,CVE-2026-50413,CVE-2026-49167,CVE-2026-49165,CVE-2026-50415,CVE-2026-50492,CVE-2026-34346,CVE-2026-50371,CVE-2026-58538,CVE-2026-55144,CVE-2026-50372,CVE-2026-50373,CVE-2026-58531,CVE-2026-50376,CVE-2026-50497,CVE-2026-58541,CVE-2026-49799,CVE-2026-49797,CVE-2026-50322,CVE-2026-50685,CVE-2026-50445,CVE-2026-50325,CVE-2026-54129,CVE-2026-50326,CVE-2026-49175,CVE-2026-50448,CVE-2026-50327,CVE-2026-50449,CVE-2026-49174,CVE-2026-58601,CVE-2026-54126,CVE-2026-54124,CVE-2026-54125,CVE-2026-54999,CVE-2026-50312,CVE-2026-50313,CVE-2026-50434,CVE-2026-50315,CVE-2026-50679,CVE-2026-49184,CVE-2026-50317,CVE-2026-50391,CVE-2026-49180,CVE-2026-54990,CVE-2026-54993,CVE-2026-50310,CVE-2026-50673,CVE-2026-40400,CVE-2026-50501,CVE-2026-50469,CVE-2026-50503,CVE-2026-58628,CVE-2026-50504,CVE-2026-50505,CVE-2026-56168,CVE-2026-58626,CVE-2026-50463,CVE-2026-50343,CVE-2026-56176,CVE-2026-50509,CVE-2026-50333,CVE-2026-50696,CVE-2026-50454,CVE-2026-50456,CVE-2026-50335,CVE-2026-50457,CVE-2026-50337,CVE-2026-50458,CVE-2026-58619,CVE-2026-50293,CVE-2026-50450,CVE-2026-50297,CVE-2026-58610,CVE-2026-50452,CVE-2026-50331,CVE-2026-57096,CVE-2026-57091</t>
  </si>
  <si>
    <t>EOL/Obsolete Software: Microsoft .Net Core Version 3.1 Detected</t>
  </si>
  <si>
    <t>EOL/Obsolete Software: Microsoft .Net Core Version 7 Detected</t>
  </si>
  <si>
    <t>Microsoft PowerShell Multiple Security Vulnerabilities for August 2026</t>
  </si>
  <si>
    <t>CVE-2026-50523,CVE-2026-58612,CVE-2026-59119,CVE-2026-70337,CVE-2026-70338</t>
  </si>
  <si>
    <t>Microsoft .NET Security Update for August 2026</t>
  </si>
  <si>
    <t>CVE-2026-62871,CVE-2026-62909,CVE-2026-62902,CVE-2026-62901,CVE-2026-62900,CVE-2026-62899,CVE-2026-58641,CVE-2026-62898,CVE-2026-62897,CVE-2026-62886,CVE-2026-70354</t>
  </si>
  <si>
    <t>Microsoft Windows Software Development Kit (SDK) Elevation of Privilege Vulnerability (June 2025) (CVE-2025-47962)</t>
  </si>
  <si>
    <t>CVE-2025-47962</t>
  </si>
  <si>
    <t>Microsoft Windows Software Development Kit (SDK) Remote Code Execution Vulnerability - January 2026 (CVE-2026-21219)</t>
  </si>
  <si>
    <t>CVE-2026-21219</t>
  </si>
  <si>
    <t>Microsoft Windows DNS Resolver Addressing Spoofing Vulnerability (ADV200013)</t>
  </si>
  <si>
    <t>Microsoft .NET Framework Update for August 2026</t>
  </si>
  <si>
    <t>CVE-2026-62872,CVE-2026-65810,CVE-2026-62897,CVE-2026-70354</t>
  </si>
  <si>
    <t>15 findings | 17 total detections</t>
  </si>
  <si>
    <t>Ubuntu Security Notification for Linux kernel Vulnerabilities (USN-8492-1)</t>
  </si>
  <si>
    <t>CVE-2026-31607,CVE-2026-43273,CVE-2026-43152,CVE-2026-43271,CVE-2026-43150,CVE-2026-43270,CVE-2026-43266,CVE-2026-43145,CVE-2026-43143,CVE-2026-43264,CVE-2026-43384,CVE-2026-43149,CVE-2026-43269,CVE-2026-43268,CVE-2026-43147,CVE-2026-43163,CVE-2026-43283,CVE-2026-43156,CVE-2026-43277,CVE-2026-43275,CVE-2026-43153,CVE-2026-43038,CVE-2026-43159,CVE-2026-43158,CVE-2026-43279,CVE-2026-43037,CVE-2026-43278,CVE-2026-43170,CVE-2026-43291,CVE-2026-43295,CVE-2026-43173,CVE-2026-43171,CVE-2026-45904,CVE-2026-45902,CVE-2026-43288,CVE-2026-43167,CVE-2026-43287,CVE-2025-40005,CVE-2026-43169,CVE-2026-43168,CVE-2026-31637,CVE-2026-43184,CVE-2026-43183,CVE-2026-45919,CVE-2026-45915,CVE-2026-45913,CVE-2026-45914,CVE-2026-46328,CVE-2026-43297,CVE-2026-43296,CVE-2026-43175,CVE-2026-45910,CVE-2026-23220,CVE-2025-71291,CVE-2026-46185,CVE-2026-45890,CVE-2026-45891,CVE-2026-43227,CVE-2026-43222,CVE-2026-45885,CVE-2026-45886,CVE-2026-43221,CVE-2025-71286,CVE-2026-43341,CVE-2026-43226,CVE-2026-23455,CVE-2026-45881,CVE-2026-45882,CVE-2026-43225,CVE-2026-45883,CVE-2026-45884,CVE-2026-43223,CVE-2026-23450,CVE-2026-46195,CVE-2026-43238,CVE-2026-43117,CVE-2026-43233,CVE-2026-43231,CVE-2025-71297,CVE-2026-43230,CVE-2025-71295,CVE-2026-43236,CVE-2026-45893,CVE-2025-71294,CVE-2026-43114,CVE-2026-45895,CVE-2025-71292,CVE-2026-43493,CVE-2026-43251,CVE-2026-43250,CVE-2026-43249,CVE-2025-71267,CVE-2026-43123,CVE-2026-43244,CVE-2025-71266,CVE-2025-71265,CVE-2026-43242,CVE-2026-43241,CVE-2026-43248,CVE-2026-43246,CVE-2026-43124,CVE-2026-43262,CVE-2026-43383,CVE-2026-43141,CVE-2026-43140,CVE-2026-43261,CVE-2026-43139,CVE-2026-23428,CVE-2026-43255,CVE-2026-43134,CVE-2026-43133,CVE-2026-43253,CVE-2026-43011,CVE-2026-43132,CVE-2025-71274,CVE-2025-71273,CVE-2026-43137,CVE-2026-43258,CVE-2026-43257,CVE-2026-43378,CVE-2026-43136,CVE-2026-43256,CVE-2026-43135,CVE-2026-46265,CVE-2026-46261,CVE-2026-31448,CVE-2026-46260,CVE-2026-31685,CVE-2026-31687,CVE-2026-31682,CVE-2026-45849,CVE-2026-43304,CVE-2026-45847,CVE-2026-45968,CVE-2026-45848,CVE-2026-45969,CVE-2026-45962,CVE-2026-45964,CVE-2026-45965,CVE-2026-46135,CVE-2026-46255,CVE-2026-43302,CVE-2026-45960,CVE-2026-46270,CVE-2026-31693,CVE-2026-43318,CVE-2026-43317,CVE-2026-43316,CVE-2026-43315,CVE-2026-45856,CVE-2026-45857,CVE-2026-45978,CVE-2026-45859,CVE-2026-43319,CVE-2026-45973,CVE-2026-45852,CVE-2026-23249,CVE-2026-45974,CVE-2026-45976,CVE-2026-43314,CVE-2026-46267,CVE-2026-46266,CVE-2026-43313,CVE-2026-45970,CVE-2026-43312,CVE-2026-23243,CVE-2026-45851,CVE-2026-45972,CVE-2026-23242,CVE-2026-46043,CVE-2026-23241,CVE-2026-43207,CVE-2025-71229,CVE-2026-43206,CVE-2026-43205,CVE-2026-45988,CVE-2026-45867,CVE-2026-45869,CVE-2026-43200,CVE-2026-45984,CVE-2026-43320,CVE-2026-45864,CVE-2026-23238,CVE-2026-45865,CVE-2026-23237,CVE-2026-23236,CVE-2026-45866,CVE-2026-23235,CVE-2026-45981,CVE-2026-23234,CVE-2026-45860,CVE-2026-43203,CVE-2026-45982,CVE-2026-23233,CVE-2026-45861,CVE-2026-45862,CVE-2026-45983,CVE-2026-23230,CVE-2026-45880,CVE-2026-43218,CVE-2025-71239,CVE-2025-71238,CVE-2025-71237,CVE-2026-45878,CVE-2026-45879,CVE-2025-71236,CVE-2025-71235,CVE-2026-23229,CVE-2026-43211,CVE-2026-23228,CVE-2025-71232,CVE-2026-45875,CVE-2025-71231,CVE-2026-45877,CVE-2026-43215,CVE-2026-45870,CVE-2026-46289,CVE-2026-43214,CVE-2026-45872,CVE-2026-23222,CVE-2026-45873,CVE-2026-43212,CVE-2026-23221,CVE-2026-23100,CVE-2026-43071,CVE-2026-31649,CVE-2026-43190,CVE-2026-31402,CVE-2026-43196,CVE-2026-43194,CVE-2026-45928,CVE-2026-45923,CVE-2026-43189,CVE-2026-43187,CVE-2026-43186,CVE-2026-43501,CVE-2026-31659,CVE-2026-31657,CVE-2026-31411,CVE-2026-45936,CVE-2026-43199,CVE-2026-23169,CVE-2026-31669,CVE-2026-43406,CVE-2026-45948,CVE-2025-71305,CVE-2025-71304,CVE-2026-45946,CVE-2026-43407,CVE-2026-45947,CVE-2026-45941,CVE-2026-23278,CVE-2026-46115,CVE-2026-46251,CVE-2026-46254,CVE-2026-46253,CVE-2026-23272,CVE-2026-23392,CVE-2026-31436,CVE-2026-46250,CVE-2026-43414,CVE-2026-45957,CVE-2026-46249,CVE-2026-45954,CVE-2026-46244,CVE-2026-23267</t>
  </si>
  <si>
    <t>CVE-2026-46243,CVE-2026-43130,CVE-2026-31668,CVE-2026-45905,CVE-2026-43128,CVE-2026-45868,CVE-2026-43209,CVE-2026-46259,CVE-2026-46119,CVE-2026-45921,CVE-2026-43148,CVE-2026-43202,CVE-2026-43289,CVE-2026-43300,CVE-2026-43201,CVE-2026-43180,CVE-2026-31418,CVE-2026-43182,CVE-2026-31478,CVE-2026-45938,CVE-2026-45916,CVE-2026-45917,CVE-2026-43239,CVE-2026-45912,CVE-2026-45935,CVE-2025-71233,CVE-2026-43232,CVE-2026-45871,CVE-2025-71272,CVE-2026-23266,CVE-2026-46247,CVE-2026-43157,CVE-2026-46246</t>
  </si>
  <si>
    <t>Ubuntu Security Notification for Linux kernel Vulnerabilities (USN-8567-1)</t>
  </si>
  <si>
    <t>CVE-2026-31604,CVE-2026-31606,CVE-2026-43030,CVE-2026-31722,CVE-2026-31603,CVE-2026-43024,CVE-2026-43387,CVE-2026-43023,CVE-2025-22116,CVE-2026-43025,CVE-2026-31737,CVE-2026-31738,CVE-2026-31617,CVE-2026-31612,CVE-2026-43281,CVE-2026-53066,CVE-2026-53069,CVE-2026-43035,CVE-2026-46303,CVE-2026-43395,CVE-2026-43036,CVE-2026-31626,CVE-2026-31747,CVE-2026-31506,CVE-2026-31507,CVE-2026-31628,CVE-2026-31622,CVE-2026-31503,CVE-2026-31624,CVE-2026-43050,CVE-2026-53097,CVE-2026-31741,CVE-2025-68334,CVE-2026-43043,CVE-2026-43049,CVE-2026-43047,CVE-2026-46312,CVE-2026-43060,CVE-2026-31639,CVE-2026-31518,CVE-2026-31756,CVE-2026-53086,CVE-2026-31752,CVE-2026-53088,CVE-2026-46205,CVE-2026-43056,CVE-2026-46207,CVE-2026-46201,CVE-2026-43059,CVE-2026-23462,CVE-2026-46187,CVE-2026-52986,CVE-2026-43471,CVE-2026-53033,CVE-2026-53036,CVE-2026-43107,CVE-2026-43469,CVE-2025-71288,CVE-2026-43342,CVE-2025-71287,CVE-2026-23457,CVE-2026-23335,CVE-2026-43468,CVE-2026-46179,CVE-2026-46299,CVE-2026-43345,CVE-2026-46076,CVE-2026-23330,CVE-2026-52974,CVE-2026-46077,CVE-2026-46198,CVE-2026-46072,CVE-2026-46193,CVE-2026-46073,CVE-2026-46194,CVE-2026-31498,CVE-2026-46070,CVE-2026-46191,CVE-2026-31499,CVE-2026-46190,CVE-2026-31496,CVE-2026-43359,CVE-2026-23448,CVE-2026-23325,CVE-2026-46069,CVE-2026-46189,CVE-2026-23442,CVE-2026-31705,CVE-2026-31706,CVE-2026-43372,CVE-2026-46082,CVE-2026-43370,CVE-2026-43490,CVE-2026-53056,CVE-2026-53295,CVE-2026-46080,CVE-2026-53296,CVE-2026-31391,CVE-2026-43129,CVE-2026-23438,CVE-2026-53062,CVE-2026-23315,CVE-2026-23434,CVE-2026-31707,CVE-2026-31709,CVE-2026-23310,CVE-2026-52995,CVE-2026-43382,CVE-2026-31712,CVE-2026-43380,CVE-2026-46092,CVE-2026-52990,CVE-2026-46091,CVE-2026-53046,CVE-2026-53049,CVE-2026-52993,CVE-2026-43019,CVE-2026-23308,CVE-2026-43497,CVE-2026-43496,CVE-2026-23303,CVE-2026-23302,CVE-2026-43252,CVE-2026-23300,CVE-2026-43016,CVE-2026-53117,CVE-2026-23382,CVE-2026-23381,CVE-2026-31563,CVE-2026-31686,CVE-2026-53111,CVE-2026-53110,CVE-2026-31680,CVE-2026-53112,CVE-2026-45845,CVE-2026-45846,CVE-2026-45841,CVE-2026-45843,CVE-2026-23379,CVE-2026-43424,CVE-2026-46015,CVE-2026-46031,CVE-2026-23372,CVE-2026-31458,CVE-2026-46151,CVE-2026-31695,CVE-2026-31455,CVE-2026-31450,CVE-2026-31580,CVE-2026-23246,CVE-2026-46146,CVE-2026-23244,CVE-2026-23364,CVE-2026-43432,CVE-2026-52962,CVE-2026-23362,CVE-2026-46163,CVE-2026-23361,CVE-2026-31469,CVE-2026-46282,CVE-2026-46161,CVE-2026-31585,CVE-2026-53012,CVE-2026-31587,CVE-2026-31588,CVE-2026-31581,CVE-2026-53015,CVE-2026-43329,CVE-2026-43327,CVE-2026-31590,CVE-2026-45989,CVE-2026-23118,CVE-2026-23357,CVE-2026-46159,CVE-2026-23475,CVE-2026-46296,CVE-2026-46177,CVE-2026-46176,CVE-2026-46051,CVE-2026-53001,CVE-2026-31598,CVE-2026-31599,CVE-2026-53002,CVE-2026-53123,CVE-2026-31595,CVE-2026-31480,CVE-2026-23468,CVE-2026-23226,CVE-2026-46047,CVE-2026-46167,CVE-2026-23343,CVE-2026-43455,CVE-2026-46049,CVE-2026-31527,CVE-2026-23066,CVE-2026-31407,CVE-2026-31408,CVE-2026-31409,CVE-2026-31403,CVE-2026-31645,CVE-2026-31642,CVE-2026-31522,CVE-2026-45920,CVE-2026-43065,CVE-2026-46211,CVE-2026-46214,CVE-2026-43069,CVE-2026-23298,CVE-2026-43082,CVE-2026-46231,CVE-2026-31413,CVE-2026-23171,CVE-2026-43085,CVE-2026-31779,CVE-2026-31651,CVE-2026-46107,CVE-2026-22993,CVE-2026-23287,CVE-2026-46103,CVE-2026-31549,CVE-2026-31428,CVE-2026-43093,CVE-2026-31429,CVE-2026-23285,CVE-2026-23284,CVE-2026-46121,CVE-2026-31424,CVE-2026-31545,CVE-2026-31425,CVE-2026-31667,CVE-2026-31788,CVE-2026-52925,CVE-2026-31542,CVE-2026-31423,CVE-2026-31780,CVE-2026-31781,CVE-2026-31540,CVE-2026-43405,CVE-2026-46238,CVE-2026-22985,CVE-2026-46113,CVE-2026-46112,CVE-2026-23157,CVE-2026-23277,CVE-2026-23276,CVE-2026-31439,CVE-2026-46133,CVE-2026-46011,CVE-2026-31556,CVE-2026-31678,CVE-2026-31552,CVE-2026-31432,CVE-2026-31554,CVE-2026-31434,CVE-2026-31670,CVE-2026-31671,CVE-2026-43415,CVE-2026-46007,CVE-2026-43099,CVE-2026-43098,CVE-2026-46003,CVE-2026-23389,CVE-2026-23387,CVE-2026-46005,CVE-2026-46125,CVE-2026-23386</t>
  </si>
  <si>
    <t>CVE-2026-31725,CVE-2026-31605,CVE-2026-31602,CVE-2026-31723,CVE-2026-31724,CVE-2026-53075,CVE-2026-53083,CVE-2026-23413,CVE-2026-31615,CVE-2026-31616,CVE-2026-43041,CVE-2026-43040,CVE-2026-31731,CVE-2026-31610,CVE-2026-46307,CVE-2026-46304,CVE-2026-43397,CVE-2026-43032,CVE-2026-46301,CVE-2026-31508,CVE-2026-31623,CVE-2026-31502,CVE-2026-31740,CVE-2026-46319,CVE-2026-46314,CVE-2026-31759,CVE-2026-31512,CVE-2026-31634,CVE-2026-43062,CVE-2025-54505,CVE-2026-53094,CVE-2026-45911,CVE-2026-46208,CVE-2026-53096,CVE-2026-46204,CVE-2026-46065,CVE-2026-52984,CVE-2026-23461,CVE-2026-23340,CVE-2026-52989,CVE-2026-43350,CVE-2026-46061,CVE-2026-53032,CVE-2026-31487,CVE-2026-31489,CVE-2026-31482,CVE-2026-53035,CVE-2026-23339,CVE-2026-23458,CVE-2026-23336,CVE-2026-23456,CVE-2026-43105,CVE-2026-23334,CVE-2026-43467,CVE-2026-23454,CVE-2026-43103,CVE-2026-43466,CVE-2026-23452,CVE-2026-46197,CVE-2026-46199,CVE-2026-46078,CVE-2026-43360,CVE-2026-31497,CVE-2026-53022,CVE-2026-31495,CVE-2026-43475,CVE-2026-43111,CVE-2026-23447,CVE-2026-23324,CVE-2026-43357,CVE-2026-46068,CVE-2026-23321,CVE-2026-43476,CVE-2026-43355,CVE-2026-23441,CVE-2026-46089,CVE-2026-46088,CVE-2026-43492,CVE-2026-46084,CVE-2026-31702,CVE-2026-53059,CVE-2025-71269,CVE-2026-23318,CVE-2026-53063,CVE-2026-43363,CVE-2026-43484,CVE-2026-43120,CVE-2026-23312,CVE-2026-31708,CVE-2026-46098,CVE-2026-31715,CVE-2026-31716,CVE-2026-43020,CVE-2026-52999,CVE-2026-43381,CVE-2026-46090,CVE-2026-53043,CVE-2026-53287,CVE-2026-53045,CVE-2026-52992,CVE-2026-53048,CVE-2026-43018,CVE-2026-53050,CVE-2026-53294,CVE-2026-53291,CVE-2026-23426,CVE-2026-43495,CVE-2026-43373,CVE-2025-71152,CVE-2026-43017,CVE-2026-43499,CVE-2026-23420,CVE-2026-43014,CVE-2026-46021,CVE-2026-23383,CVE-2026-46023,CVE-2026-31689,CVE-2026-31449,CVE-2026-31684,CVE-2026-31565,CVE-2025-38426,CVE-2026-31681,CVE-2026-31440,CVE-2026-43428,CVE-2026-43429,CVE-2026-46139,CVE-2026-46138,CVE-2026-45842,CVE-2026-45844,CVE-2026-46019,CVE-2026-23378,CVE-2026-23255,CVE-2026-46016,CVE-2026-45840,CVE-2026-43421,CVE-2026-23375,CVE-2026-23374,CVE-2026-46033,CVE-2026-52936,CVE-2026-46150,CVE-2026-31453,CVE-2026-31454,CVE-2026-31575,CVE-2026-31697,CVE-2026-31452,CVE-2026-31694,CVE-2026-43437,CVE-2026-43436,CVE-2026-43430,CVE-2026-23369,CVE-2026-23245,CVE-2026-46024,CVE-2026-46027,CVE-2026-52963,CVE-2026-46164,CVE-2026-46287,CVE-2026-46044,CVE-2026-52967,CVE-2026-52969,CVE-2026-46040,CVE-2026-31586,CVE-2026-53130,CVE-2026-31466,CVE-2026-53011,CVE-2026-31583,CVE-2026-31584,CVE-2026-31470,CVE-2026-43441,CVE-2026-46157,CVE-2026-23474,CVE-2026-46037,CVE-2026-53128,CVE-2026-52951,CVE-2026-23470,CVE-2026-46292,CVE-2026-46291,CVE-2026-46293,CVE-2026-52957,CVE-2026-46172,CVE-2026-31597,CVE-2026-31477,CVE-2026-31473,CVE-2026-31474,CVE-2026-43339,CVE-2026-43459,CVE-2026-43458,CVE-2026-45999,CVE-2026-43453,CVE-2026-45996,CVE-2026-23347,CVE-2026-43451,CVE-2026-43330,CVE-2026-43450,CVE-2026-23104,CVE-2026-23464,CVE-2026-46169,CVE-2026-45994,CVE-2026-53314,CVE-2026-43075,CVE-2026-43074,CVE-2026-31767,CVE-2026-31405,CVE-2026-31520,CVE-2026-31521,CVE-2026-31763,CVE-2025-71203,CVE-2026-45924,CVE-2026-46218,CVE-2026-43066,CVE-2026-31417,CVE-2026-23296,CVE-2026-43080,CVE-2026-46111,CVE-2026-53303,CVE-2026-53304,CVE-2026-23293,CVE-2026-43086,CVE-2026-31656,CVE-2026-43084,CVE-2026-31416,CVE-2026-23290,CVE-2025-68175,CVE-2026-31530,CVE-2026-31772,CVE-2026-31412,CVE-2026-46227,CVE-2026-46226,CVE-2026-43076,CVE-2025-62626,CVE-2026-46102,CVE-2026-46101,CVE-2026-46225,CVE-2026-46241,CVE-2026-43092,CVE-2026-31546,CVE-2026-43094,CVE-2026-31548,CVE-2026-31421,CVE-2026-31422,CVE-2026-31660,CVE-2026-43089,CVE-2026-43088,CVE-2026-23279,CVE-2026-23398,CVE-2026-46114,CVE-2026-23396,CVE-2026-23395,CVE-2026-46132,CVE-2026-31557,CVE-2026-23270,CVE-2026-52911,CVE-2026-31673,CVE-2026-31674,CVE-2026-53320,CVE-2026-31433,CVE-2026-31551,CVE-2026-31672,CVE-2026-45839,CVE-2026-45834,CVE-2026-45836,CVE-2026-43419,CVE-2026-46006,CVE-2026-46009,CVE-2026-46129,CVE-2026-23388,CVE-2026-43411</t>
  </si>
  <si>
    <t>CVE-2026-31728,CVE-2026-31721,CVE-2025-68239,CVE-2026-23419,CVE-2026-23418,CVE-2026-53085,CVE-2026-53084,CVE-2026-23414,CVE-2026-43386,CVE-2026-23412,CVE-2026-31729,CVE-2026-43028,CVE-2026-43027,CVE-2026-43026,CVE-2026-31618,CVE-2026-31611,CVE-2026-31613,CVE-2026-53065,CVE-2026-53064,CVE-2026-53068,CVE-2026-53071,CVE-2026-53073,CVE-2026-23401,CVE-2026-31619,CVE-2026-31749,CVE-2026-31629,CVE-2026-43052,CVE-2026-43051,CVE-2026-31625,CVE-2026-53098,CVE-2026-31500,CVE-2026-43046,CVE-2026-43044,CVE-2026-31509,CVE-2026-31758,CVE-2026-31516,CVE-2026-31519,CVE-2026-43064,CVE-2026-31755,CVE-2026-31515,CVE-2026-43061,CVE-2026-31751,CVE-2026-31510,CVE-2026-46206,CVE-2026-43054,CVE-2026-46200,CVE-2026-43058,CVE-2026-52985,CVE-2026-53039,CVE-2026-46063,CVE-2026-46184,CVE-2026-46062,CVE-2026-53034,CVE-2026-46180,CVE-2026-31483,CVE-2026-52982,CVE-2026-31485,CVE-2026-53037,CVE-2026-43109,CVE-2026-31492,CVE-2026-53041,CVE-2026-53040,CVE-2026-43343,CVE-2026-43340,CVE-2026-46058,CVE-2026-46178,CVE-2026-46075,CVE-2026-46196,CVE-2026-52975,CVE-2026-43361,CVE-2026-52977,CVE-2026-53021,CVE-2026-53023,CVE-2026-52970,CVE-2026-31494,CVE-2026-43119,CVE-2026-23449,CVE-2026-23207,CVE-2026-43112,CVE-2026-23446,CVE-2026-43473,CVE-2026-43110,CVE-2026-43472,CVE-2026-45899,CVE-2026-23444,CVE-2026-23440,CVE-2026-46086,CVE-2026-31704,CVE-2026-46083,CVE-2026-31700,CVE-2026-43371,CVE-2026-31701,CVE-2026-53058,CVE-2026-31392,CVE-2026-43007,CVE-2026-31393,CVE-2026-53061,CVE-2026-23319,CVE-2026-23439,CVE-2026-43365,CVE-2026-43483,CVE-2026-23313,CVE-2026-43362,CVE-2026-43368,CVE-2026-46079,CVE-2026-43245,CVE-2026-43366,CVE-2026-31714,CVE-2026-31711,CVE-2026-31399,CVE-2026-53047,CVE-2026-31394,CVE-2026-31396,CVE-2026-53289,CVE-2026-53293,CVE-2026-53052,CVE-2026-23307,CVE-2026-23306,CVE-2026-43013,CVE-2026-23304,CVE-2026-43012,CVE-2026-43015,CVE-2026-43377,CVE-2026-46142,CVE-2026-46143,CVE-2026-46022,CVE-2026-31446,CVE-2026-31566,CVE-2026-53115,CVE-2026-31683,CVE-2026-43427,CVE-2026-43426,CVE-2025-39764,CVE-2026-43420,CVE-2026-46018,CVE-2026-23138,CVE-2026-46137,CVE-2026-46136,CVE-2026-23253,CVE-2026-46274,CVE-2026-46273,CVE-2026-23370,CVE-2026-52933,CVE-2026-31696,CVE-2026-31576,CVE-2026-31698,CVE-2026-31577,CVE-2026-31570,CVE-2026-43439,CVE-2026-46149,CVE-2026-23368,CVE-2026-45855,CVE-2026-23004,CVE-2026-46145,CVE-2026-23365,CVE-2026-46285,CVE-2026-52964,CVE-2026-46286,CVE-2026-46160,CVE-2026-46280,CVE-2026-46041,CVE-2026-31464,CVE-2026-31467,CVE-2026-53014,CVE-2026-53013,CVE-2026-31582,CVE-2026-52961,CVE-2026-43328,CVE-2026-43448,CVE-2026-45985,CVE-2025-71221,CVE-2026-45987,CVE-2026-23356,CVE-2026-43324,CVE-2026-43445,CVE-2026-46038,CVE-2026-23352,CVE-2026-46174,CVE-2026-46053,CVE-2026-53006,CVE-2026-46056,CVE-2026-52954,CVE-2026-46050,CVE-2026-52955,CVE-2026-46294,CVE-2026-52958,CVE-2026-46173,CVE-2026-53122,CVE-2026-53126,CVE-2026-43338,CVE-2026-43332,CVE-2026-43452,CVE-2026-23227,CVE-2026-45997,CVE-2026-45991,CVE-2026-43457,CVE-2026-46168,CVE-2026-43456,CVE-2026-23465,CVE-2026-23463,CVE-2026-31648,CVE-2026-31528,CVE-2026-46220,CVE-2026-31523,CVE-2026-31524,CVE-2026-31646,CVE-2026-31525,CVE-2026-43073,CVE-2026-31768,CVE-2026-43072,CVE-2026-31762,CVE-2026-31400,CVE-2025-40150,CVE-2026-46219,CVE-2026-43068,CVE-2026-46212,CVE-2026-43081,CVE-2026-53306,CVE-2026-46232,CVE-2026-46110,CVE-2026-31655,CVE-2026-23292,CVE-2026-31414,CVE-2026-31778,CVE-2026-31658,CVE-2026-31532,CVE-2026-31770,CVE-2025-40135,CVE-2026-43079,CVE-2026-46106,CVE-2026-46108,CVE-2026-23286,CVE-2026-46122,CVE-2026-52920,CVE-2026-23281,CVE-2026-31426,CVE-2026-31662,CVE-2026-31664,CVE-2026-31665,CVE-2026-31661,CVE-2026-43409,CVE-2026-46117,CVE-2026-45942,CVE-2026-46234,CVE-2026-46233,CVE-2026-46236,CVE-2026-46235,CVE-2026-23397,CVE-2026-46131,CVE-2026-23154,CVE-2026-31677,CVE-2026-23391,CVE-2026-31679,CVE-2026-31438,CVE-2026-31555,CVE-2026-31550,CVE-2026-31430,CVE-2026-45838,CVE-2026-45835,CVE-2026-45958,CVE-2026-46127,CVE-2026-43413,CVE-2026-46124,CVE-2026-46123,CVE-2026-46002,CVE-2026-46004</t>
  </si>
  <si>
    <t>CVE-2026-46186,CVE-2026-31726,CVE-2026-46064,CVE-2026-46144,CVE-2026-23460,CVE-2026-31447,CVE-2026-31761,CVE-2026-53076,CVE-2025-54518,CVE-2025-21709,CVE-2026-31488,CVE-2026-53077,CVE-2026-31720,CVE-2026-53279,CVE-2026-52981,CVE-2026-31441,CVE-2026-43425,CVE-2026-43502,CVE-2026-53082,CVE-2026-43265,CVE-2026-43104,CVE-2025-71161,CVE-2026-46230,CVE-2026-46152,CVE-2026-53309,CVE-2026-31699,CVE-2026-31578,CVE-2026-43162,CVE-2026-31415,CVE-2026-23291,CVE-2026-43480,CVE-2026-31773,CVE-2026-31730,CVE-2026-31451,CVE-2026-53072,CVE-2026-53074,CVE-2026-45858,CVE-2026-46229,CVE-2026-46306,CVE-2026-23367,CVE-2026-23289,CVE-2026-46026,CVE-2026-43113,CVE-2026-46120,CVE-2026-23363,CVE-2026-31505,CVE-2026-31748,CVE-2026-31627,CVE-2026-43091,CVE-2026-23360,CVE-2026-43491,CVE-2026-31427,CVE-2026-52968,CVE-2026-31389,CVE-2026-53016,CVE-2026-43449,CVE-2025-68736,CVE-2026-53060,CVE-2026-43408,CVE-2026-23317,CVE-2026-23359,CVE-2026-46116,CVE-2026-45986,CVE-2026-45943,CVE-2026-23399,CVE-2026-22981,CVE-2026-43488,CVE-2026-31638,CVE-2026-52998,CVE-2026-46012,CVE-2026-46099,CVE-2026-31754,CVE-2026-23271,CVE-2026-46094,CVE-2026-46052,CVE-2026-31596,CVE-2026-31476,CVE-2026-31675,CVE-2026-31511,CVE-2026-53003,CVE-2026-31594,CVE-2026-53004,CVE-2026-46209,CVE-2026-45956,CVE-2026-53093,CVE-2026-43057,CVE-2026-46128,CVE-2026-43336,CVE-2026-46046,CVE-2026-43412,CVE-2026-46126,CVE-2026-43334,CVE-2026-43333</t>
  </si>
  <si>
    <t>Ubuntu Security Notification for Linux kernel Vulnerabilities (USN-8630-1)</t>
  </si>
  <si>
    <t>CVE-2026-53228,CVE-2026-53215,CVE-2026-46331,CVE-2026-52931,CVE-2026-46242,CVE-2026-53359,CVE-2026-52914,CVE-2026-52924,CVE-2026-43083,CVE-2026-53176,CVE-2026-53225,CVE-2026-53212,CVE-2026-53151,CVE-2026-46325,CVE-2026-43198,CVE-2026-43197,CVE-2026-43465</t>
  </si>
  <si>
    <t>Ubuntu Security Notification for Linux kernel Vulnerabilities (USN-8643-1)</t>
  </si>
  <si>
    <t>CVE-2026-53246,CVE-2026-53224,CVE-2026-53247,CVE-2026-64531</t>
  </si>
  <si>
    <t>Ubuntu Security Notification for uriparser Vulnerabilities (USN-7356-1)</t>
  </si>
  <si>
    <t>CVE-2024-34402,CVE-2024-34403</t>
  </si>
  <si>
    <t>Ubuntu Security Notification for pip Vulnerabilities (USN-8344-1)</t>
  </si>
  <si>
    <t>CVE-2025-66418,CVE-2024-35195,CVE-2025-66471</t>
  </si>
  <si>
    <t>Ubuntu Security Notification for Linux kernel Vulnerabilities (USN-8373-1)</t>
  </si>
  <si>
    <t>CVE-2026-47330,CVE-2026-47332,CVE-2026-47331,CVE-2026-46000,CVE-2026-43284,CVE-2026-31676,CVE-2026-43503,CVE-2026-47327,CVE-2026-47337,CVE-2026-47326,CVE-2026-47329,CVE-2026-43494,CVE-2026-47328,CVE-2026-45998,CVE-2026-46300,CVE-2026-46333,CVE-2026-47334,CVE-2026-43500,CVE-2026-47333,CVE-2026-47336,CVE-2026-47335</t>
  </si>
  <si>
    <t>Ubuntu Security Notification for pip Vulnerability (USN-8344-3)</t>
  </si>
  <si>
    <t>CVE-2025-66471</t>
  </si>
  <si>
    <t>Ubuntu Security Update for CVE-2026-46323</t>
  </si>
  <si>
    <t>CVE-2026-46323</t>
  </si>
  <si>
    <t>Ubuntu Security Update for CVE-2026-64587</t>
  </si>
  <si>
    <t>CVE-2026-64587</t>
  </si>
  <si>
    <t>Ubuntu Security Notification for uriparser Vulnerability (USN-8409-1)</t>
  </si>
  <si>
    <t>CVE-2025-67899</t>
  </si>
  <si>
    <t>2 findings | 11 total detections</t>
  </si>
  <si>
    <t>EOL/Obsolete Software: MySQL 8.0.x Detected</t>
  </si>
  <si>
    <t>EOL/Obsolete Software: Microsoft Silverlight 5 Detected</t>
  </si>
  <si>
    <t>10 findings | 10 total detections</t>
  </si>
  <si>
    <t>Oracle Java Standard Edition (SE) Critical Patch Update - April 2025 (CPUAPR2025)</t>
  </si>
  <si>
    <t>CVE-2025-24162,CVE-2025-24143,CVE-2024-47596,CVE-2024-47597,CVE-2024-47545,CVE-2024-44187,CVE-2024-47544,CVE-2024-44185,CVE-2024-47546,CVE-2024-47606,CVE-2024-27856,CVE-2025-24158,CVE-2024-54479,CVE-2024-54534,CVE-2025-21587,CVE-2025-23083,CVE-2025-24150,CVE-2025-30698,CVE-2025-23085,CVE-2025-23084,CVE-2024-40866,CVE-2024-44309,CVE-2024-44308,CVE-2025-30691,CVE-2024-44244,CVE-2024-47776,CVE-2024-47775,CVE-2024-44296,CVE-2024-47778,CVE-2024-54508,CVE-2024-47777,CVE-2024-54505,CVE-2024-54502,CVE-2024-54543</t>
  </si>
  <si>
    <t>Oracle Java Standard Edition (SE) Critical Patch Update - July 2025 (CPUJUL2025)</t>
  </si>
  <si>
    <t>CVE-2025-30752,CVE-2025-32414,CVE-2025-50065,CVE-2025-30761,CVE-2025-50063,CVE-2025-23166,CVE-2025-27113,CVE-2024-56171,CVE-2025-23165,CVE-2025-30749,CVE-2025-50106,CVE-2024-40896,CVE-2025-50059,CVE-2025-30754,CVE-2025-32415,CVE-2024-55549,CVE-2025-24928,CVE-2025-24855</t>
  </si>
  <si>
    <t>Oracle Java Standard Edition (SE) Critical Patch Update - July 2024 (CPUJUL2024)</t>
  </si>
  <si>
    <t>CVE-2024-21147,CVE-2024-21144,CVE-2024-21145,CVE-2024-21138,CVE-2024-21131,CVE-2024-21140</t>
  </si>
  <si>
    <t>Oracle Java Standard Edition (SE) Critical Patch Update - October 2024 (CPUOCT2024)</t>
  </si>
  <si>
    <t>CVE-2024-21235,CVE-2024-21210,CVE-2024-25062,CVE-2024-21211,CVE-2024-21217,CVE-2023-42950,CVE-2024-21208</t>
  </si>
  <si>
    <t>Oracle Java Standard Edition (SE) Critical Patch Update - January 2025 (CPUJAN2025)</t>
  </si>
  <si>
    <t>CVE-2025-0509,CVE-2025-21502</t>
  </si>
  <si>
    <t>Oracle Java Standard Edition (SE) Critical Patch Update - October 2025 (CPUOCT2025)</t>
  </si>
  <si>
    <t>CVE-2025-53057,CVE-2025-53066,CVE-2025-31278,CVE-2025-31257,CVE-2025-6558,CVE-2025-24189,CVE-2025-43240,CVE-2025-43216,CVE-2025-43227,CVE-2025-43265,CVE-2025-43212,CVE-2025-43211,CVE-2025-31273,CVE-2025-61755,CVE-2025-43228,CVE-2025-61748</t>
  </si>
  <si>
    <t>Oracle Java Standard Edition (SE) Critical Patch Update - January 2026 (CPUJAN2026)</t>
  </si>
  <si>
    <t>CVE-2025-10911,CVE-2025-7425,CVE-2025-7424,CVE-2025-43272,CVE-2025-47183,CVE-2025-43368,CVE-2025-47219,CVE-2025-43356,CVE-2026-21925,CVE-2026-21947,CVE-2026-21933,CVE-2025-43342,CVE-2026-21945,CVE-2026-21932,CVE-2025-8732,CVE-2025-6021,CVE-2025-6052</t>
  </si>
  <si>
    <t>Oracle Java Standard Edition (SE) July 2026 Critical Patch Update (CPUJUL2026)</t>
  </si>
  <si>
    <t>CVE-2026-47021,CVE-2026-47010,CVE-2026-47057,CVE-2026-47013,CVE-2026-47035,CVE-2026-47034,CVE-2026-33636,CVE-2026-34757,CVE-2026-47063,CVE-2026-47030,CVE-2026-46917,CVE-2026-62574,CVE-2026-60166,CVE-2026-60164,CVE-2026-46968,CVE-2026-60526,CVE-2026-60147,CVE-2026-47059,CVE-2026-47058,CVE-2026-41254,CVE-2026-47027</t>
  </si>
  <si>
    <t>Oracle Java Standard Edition (SE) August 2026 Critical Patch Update (CSPUAUG2026)</t>
  </si>
  <si>
    <t>CVE-2026-62574,CVE-2026-70906,CVE-2026-70907,CVE-2026-61308,CVE-2026-60589</t>
  </si>
  <si>
    <t>Oracle Java Standard Edition (SE) Critical Patch Update - April 2026 (CPUAPR2026)</t>
  </si>
  <si>
    <t>CVE-2026-22021,CVE-2026-34282,CVE-2026-22008,CVE-2026-22018,CVE-2026-22007,CVE-2026-23865,CVE-2026-22016,CVE-2026-20652,CVE-2026-22003,CVE-2026-22013,CVE-2026-34268</t>
  </si>
  <si>
    <t>6 findings | 8 total detections</t>
  </si>
  <si>
    <t>Microsoft Edge Based on Chromium Prior to 152.0.4191.53 Multiple Vulnerabilities</t>
  </si>
  <si>
    <t>CVE-2026-79109,CVE-2026-78934,CVE-2026-78938,CVE-2026-62904,CVE-2026-78939,CVE-2026-79223,CVE-2026-79103,CVE-2026-79224,CVE-2026-79104,CVE-2026-79225,CVE-2026-79226,CVE-2026-79106,CVE-2026-79227,CVE-2026-79107,CVE-2026-79228,CVE-2026-79108,CVE-2026-79229,CVE-2026-79230,CVE-2026-79110,CVE-2026-79231,CVE-2026-79111,CVE-2026-79232,CVE-2026-78944,CVE-2026-78945,CVE-2026-78946,CVE-2026-78947,CVE-2026-78948,CVE-2026-79112,CVE-2026-79234,CVE-2026-79235,CVE-2026-79236,CVE-2026-78940,CVE-2026-79116,CVE-2026-79237,CVE-2026-78941,CVE-2026-79238,CVE-2026-78942,CVE-2026-79118,CVE-2026-79239,CVE-2026-78943,CVE-2026-79119,CVE-2026-79240,CVE-2026-79120,CVE-2026-79000,CVE-2026-79121,CVE-2026-79242,CVE-2026-79001,CVE-2026-79122,CVE-2026-79243,CVE-2026-78911,CVE-2026-79208,CVE-2026-78912,CVE-2026-79209,CVE-2026-78913,CVE-2026-78914,CVE-2026-78915,CVE-2026-79200,CVE-2026-79201,CVE-2026-79202,CVE-2026-79203,CVE-2026-79204,CVE-2026-79205,CVE-2026-79206,CVE-2026-78910,CVE-2026-79219,CVE-2026-79211,CVE-2026-79212,CVE-2026-79214,CVE-2026-79215,CVE-2026-79216,CVE-2026-79218,CVE-2026-79220,CVE-2026-79221,CVE-2026-78900,CVE-2026-78901,CVE-2026-78903,CVE-2026-78904,CVE-2026-78905,CVE-2026-78906,CVE-2026-78907,CVE-2026-78908,CVE-2026-78909,CVE-2026-79093,CVE-2026-79094,CVE-2026-79095,CVE-2026-79097,CVE-2026-79098,CVE-2026-79099,CVE-2026-79090,CVE-2026-79091,CVE-2026-58616,CVE-2026-78892,CVE-2026-79068,CVE-2026-79189,CVE-2026-78893,CVE-2026-79069,CVE-2026-78894,CVE-2026-78895,CVE-2026-78896,CVE-2026-78897,CVE-2026-78898,CVE-2026-78899,CVE-2026-79071,CVE-2026-79192,CVE-2026-79072,CVE-2026-79193,CVE-2026-79073,CVE-2026-79194,CVE-2026-79074,CVE-2026-79195,CVE-2026-79075,CVE-2026-79196,CVE-2026-79076,CVE-2026-79197,CVE-2026-79077,CVE-2026-79198,CVE-2026-79078,CVE-2026-79199,CVE-2026-79190,CVE-2026-79070,CVE-2026-79191,CVE-2026-79082,CVE-2026-79083,CVE-2026-79084,CVE-2026-79085,CVE-2026-79087,CVE-2026-79088,CVE-2026-79089,CVE-2026-78999,CVE-2026-78991,CVE-2026-79047,CVE-2026-79048,CVE-2026-79049,CVE-2026-79050,CVE-2026-79051,CVE-2026-79052,CVE-2026-79173,CVE-2026-79053,CVE-2026-79174,CVE-2026-79054,CVE-2026-79175,CVE-2026-79055,CVE-2026-79176,CVE-2026-79056,CVE-2026-79177,CVE-2026-66324,CVE-2026-66323,CVE-2026-79178,CVE-2026-79058,CVE-2026-79179,CVE-2026-79059,CVE-2026-79060,CVE-2026-79181,CVE-2026-79182,CVE-2026-79183,CVE-2026-79184,CVE-2026-79064,CVE-2026-79185,CVE-2026-79065,CVE-2026-79186,CVE-2026-79066,CVE-2026-79187,CVE-2026-78891,CVE-2026-79067,CVE-2026-79188,CVE-2026-66798,CVE-2026-78977,CVE-2026-78978,CVE-2026-78979,CVE-2026-79024,CVE-2026-79025,CVE-2026-79026,CVE-2026-79147,CVE-2026-79027,CVE-2026-79148,CVE-2026-79028,CVE-2026-79149,CVE-2026-78974,CVE-2026-78975,CVE-2026-78976,CVE-2026-79150,CVE-2026-79030,CVE-2026-79151,CVE-2026-79031,CVE-2026-79032,CVE-2026-79033,CVE-2026-79154,CVE-2026-79034,CVE-2026-79155,CVE-2026-78989,CVE-2026-78980,CVE-2026-78983,CVE-2026-79038,CVE-2026-78984,CVE-2026-78985,CVE-2026-78986,CVE-2026-78987,CVE-2026-79040,CVE-2026-79041,CVE-2026-79042,CVE-2026-79043,CVE-2026-78990,CVE-2026-79045,CVE-2026-78955,CVE-2026-78956,CVE-2026-78958,CVE-2026-78959,CVE-2026-79002,CVE-2026-79123,CVE-2026-79244,CVE-2026-79003,CVE-2026-79124,CVE-2026-79245,CVE-2026-79004,CVE-2026-79125,CVE-2026-79246,CVE-2026-78950,CVE-2026-79005,CVE-2026-79126,CVE-2026-78951,CVE-2026-79006,CVE-2026-79127,CVE-2026-78952,CVE-2026-79007,CVE-2026-79128,CVE-2026-78953,CVE-2026-78954,CVE-2026-79009,CVE-2026-79130,CVE-2026-79010,CVE-2026-79131,CVE-2026-79011,CVE-2026-79012,CVE-2026-79133,CVE-2026-78966,CVE-2026-78967,CVE-2026-78968,CVE-2026-78969,CVE-2026-79013,CVE-2026-79134,CVE-2026-79014,CVE-2026-78960,CVE-2026-79015,CVE-2026-79136,CVE-2026-78961,CVE-2026-79016,CVE-2026-79137,CVE-2026-78962,CVE-2026-79017,CVE-2026-79138,CVE-2026-78963,CVE-2026-79018,CVE-2026-79139,CVE-2026-78964,CVE-2026-79019,CVE-2026-72984,CVE-2026-78965,CVE-2026-79140,CVE-2026-79020,CVE-2026-79141,CVE-2026-79021,CVE-2026-79142,CVE-2026-79022,CVE-2026-79143,CVE-2026-79023,CVE-2026-79144</t>
  </si>
  <si>
    <t>CVE-2026-79266,CVE-2026-79267,CVE-2026-79289,CVE-2026-79247,CVE-2026-79269,CVE-2026-79248,CVE-2026-79249,CVE-2026-79291,CVE-2026-79270,CVE-2026-79292,CVE-2026-79271,CVE-2026-79293,CVE-2026-79250,CVE-2026-79272,CVE-2026-79251,CVE-2026-79252,CVE-2026-79274,CVE-2026-79253,CVE-2026-79275,CVE-2026-79276,CVE-2026-79290,CVE-2026-79255,CVE-2026-79257,CVE-2026-79258,CVE-2026-79259,CVE-2026-79260,CVE-2026-79261,CVE-2026-79283,CVE-2026-79262,CVE-2026-79284,CVE-2026-79263,CVE-2026-79285,CVE-2026-79264,CVE-2026-79265,CVE-2026-79287</t>
  </si>
  <si>
    <t>Microsoft Edge Based on Chromium Prior to 151.0.4129.78 Multiple Vulnerabilities</t>
  </si>
  <si>
    <t>CVE-2026-19161,CVE-2026-19162,CVE-2026-19140,CVE-2026-19163,CVE-2026-19164,CVE-2026-19142,CVE-2026-19160,CVE-2026-19169,CVE-2026-19147,CVE-2026-19148,CVE-2026-19149,CVE-2026-19165,CVE-2026-19144,CVE-2026-19166,CVE-2026-19167,CVE-2026-19145,CVE-2026-19168,CVE-2026-19146,CVE-2026-70339,CVE-2026-19150,CVE-2026-19172,CVE-2026-19151,CVE-2026-19173,CVE-2026-19152,CVE-2026-19174,CVE-2026-19153,CVE-2026-19175,CVE-2026-19170,CVE-2026-19171,CVE-2026-19158,CVE-2026-19159,CVE-2026-19137,CVE-2026-19138,CVE-2026-19139,CVE-2026-19176,CVE-2026-19177,CVE-2026-19155,CVE-2026-19156,CVE-2026-19157</t>
  </si>
  <si>
    <t>Microsoft Edge Based on Chromium Prior to 151.0.4129.101 Multiple Vulnerabilities</t>
  </si>
  <si>
    <t>CVE-2026-76038,CVE-2026-76037,CVE-2026-76047,CVE-2026-76035,CVE-2026-76045,CVE-2026-76034,CVE-2026-76044,CVE-2026-76033,CVE-2026-76043,CVE-2026-76042,CVE-2026-76041,CVE-2026-76040</t>
  </si>
  <si>
    <t>Microsoft Edge Based on Chromium Prior to 151.0.4129.86 Multiple Vulnerabilities</t>
  </si>
  <si>
    <t>CVE-2026-72970,CVE-2026-19560,CVE-2026-19558,CVE-2026-19559,CVE-2026-19556,CVE-2026-19557</t>
  </si>
  <si>
    <t>Microsoft Edge Based on Chromium Prior to 151.0.4129.107 Multiple Vulnerabilities</t>
  </si>
  <si>
    <t>8 findings | 8 total detections</t>
  </si>
  <si>
    <t>Node.js Bypass Path Traversal Vulnerability (CVE-2025-27210)</t>
  </si>
  <si>
    <t>CVE-2025-27210</t>
  </si>
  <si>
    <t>Node.js Multiple Security Vulnerabilities</t>
  </si>
  <si>
    <t>CVE-2026-21636,CVE-2026-21637,CVE-2025-59465,CVE-2025-55130,CVE-2025-59466,CVE-2025-55131,CVE-2025-55132,CVE-2025-59464</t>
  </si>
  <si>
    <t>Node.js OpenSSL Multiple Security Vulnerabilities</t>
  </si>
  <si>
    <t>CVE-2025-11187,CVE-2025-69421,CVE-2026-22795</t>
  </si>
  <si>
    <t>CVE-2026-21717,CVE-2026-21715,CVE-2026-21716,CVE-2026-21713,CVE-2026-21714,CVE-2026-21711,CVE-2026-21712,CVE-2026-21710</t>
  </si>
  <si>
    <t>CVE-2026-48619,CVE-2026-48928,CVE-2026-48617,CVE-2026-48936,CVE-2026-48618,CVE-2026-48937,CVE-2026-48615,CVE-2026-48934,CVE-2026-48935,CVE-2026-48933,CVE-2026-48930,CVE-2026-48931</t>
  </si>
  <si>
    <t>CVE-2026-58043,CVE-2026-56848,CVE-2026-56847,CVE-2026-58045,CVE-2026-56846,CVE-2026-58040,CVE-2026-58041,CVE-2026-58042,CVE-2026-56850,CVE-2026-58039</t>
  </si>
  <si>
    <t>Node.js Security Releases (CVE-2025-23166)</t>
  </si>
  <si>
    <t>CVE-2025-23166</t>
  </si>
  <si>
    <t>Node.js Security Releases (CVE-2025-23165)</t>
  </si>
  <si>
    <t>CVE-2025-23165</t>
  </si>
  <si>
    <t>2 findings | 2 total detections</t>
  </si>
  <si>
    <t>ElasticSearch Beats Multiple Vulnerabilities (ESA-2025-30,ESA-2025-31,ESA-2025-32)</t>
  </si>
  <si>
    <t>CVE-2025-68381,CVE-2025-68382,CVE-2025-68383</t>
  </si>
  <si>
    <t>Elasticsearch Kibana Sensitive Information Disclosure Vulnerability (ESA-2025-18)</t>
  </si>
  <si>
    <t>CVE-2025-37727</t>
  </si>
  <si>
    <t>Python 3.10.x to 3.14.x Multiple Vulnerabilities (CVE-2024-12718,CVE-2025-4138,CVE-2025-4330,CVE-2025-4517)</t>
  </si>
  <si>
    <t>CVE-2025-4138,CVE-2025-4330,CVE-2025-4517,CVE-2024-12718</t>
  </si>
  <si>
    <t>Python Denial of Service (DoS) Vulnerability (CVE-2026-11972)</t>
  </si>
  <si>
    <t>CVE-2026-11972</t>
  </si>
  <si>
    <t>1 findings | 1 total detections</t>
  </si>
  <si>
    <t>Apache Log4j FilteredObjectInputStream Deserialization Bypass Vulnerability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</si>
</sst>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9"/>
      <color rgb="FF80808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  <fill>
      <patternFill patternType="solid">
        <fgColor rgb="FFDCE6F1"/>
        <bgColor rgb="FFD9D9D9"/>
      </patternFill>
    </fill>
    <fill>
      <patternFill patternType="solid">
        <fgColor rgb="FFC00000"/>
        <bgColor rgb="FF800000"/>
      </patternFill>
    </fill>
    <fill>
      <patternFill patternType="solid">
        <fgColor rgb="FFE36C09"/>
        <bgColor rgb="FFFF9900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BFBFBF"/>
      </patternFill>
    </fill>
    <fill>
      <patternFill patternType="solid">
        <fgColor rgb="FFBFBFBF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0" fontId="3" fillId="4" borderId="1" xfId="0" applyFont="1" applyFill="1" applyBorder="1"/>
    <xf numFmtId="164" fontId="3" fillId="4" borderId="1" xfId="0" applyNumberFormat="1" applyFont="1" applyFill="1" applyBorder="1"/>
    <xf numFmtId="0" fontId="3" fillId="0" borderId="1" xfId="0" applyFont="1" applyBorder="1"/>
    <xf numFmtId="0" fontId="3" fillId="3" borderId="1" xfId="0" applyFont="1" applyFill="1" applyBorder="1"/>
    <xf numFmtId="0" fontId="6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6FA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E36C09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7"/>
  <sheetViews>
    <sheetView showGridLines="0" zoomScaleNormal="100" workbookViewId="0"/>
  </sheetViews>
  <sheetFormatPr defaultColWidth="8.7109375" defaultRowHeight="15"/>
  <cols>
    <col min="1" max="1" width="3" customWidth="1"/>
    <col min="2" max="2" width="34" customWidth="1"/>
    <col min="3" max="3" width="14" customWidth="1"/>
    <col min="4" max="5" width="16" customWidth="1"/>
  </cols>
  <sheetData>
    <row r="2" spans="1:5" ht="17.45">
      <c r="B2" s="1" t="s">
        <v>0</v>
      </c>
    </row>
    <row r="3" spans="1:5">
      <c r="B3" s="2" t="s">
        <v>1</v>
      </c>
    </row>
    <row r="5" spans="1:5">
      <c r="B5" s="3" t="s">
        <v>2</v>
      </c>
      <c r="C5" s="4">
        <v>388</v>
      </c>
    </row>
    <row r="6" spans="1:5">
      <c r="B6" s="3" t="s">
        <v>3</v>
      </c>
      <c r="C6" s="4">
        <v>379</v>
      </c>
    </row>
    <row r="7" spans="1:5">
      <c r="B7" s="3" t="s">
        <v>4</v>
      </c>
      <c r="C7" s="4">
        <v>2976</v>
      </c>
    </row>
    <row r="8" spans="1:5">
      <c r="B8" s="3" t="s">
        <v>5</v>
      </c>
      <c r="C8" s="4">
        <v>16</v>
      </c>
    </row>
    <row r="10" spans="1:5" ht="26.85">
      <c r="A10" s="5"/>
      <c r="B10" s="5" t="s">
        <v>6</v>
      </c>
      <c r="C10" s="5" t="s">
        <v>3</v>
      </c>
      <c r="D10" s="5" t="s">
        <v>4</v>
      </c>
      <c r="E10" s="5" t="s">
        <v>7</v>
      </c>
    </row>
    <row r="11" spans="1:5">
      <c r="B11" s="6" t="s">
        <v>8</v>
      </c>
      <c r="C11" s="6">
        <v>109</v>
      </c>
      <c r="D11" s="6">
        <v>1514</v>
      </c>
      <c r="E11" s="7">
        <f>D11/2976</f>
        <v>0.50873655913978499</v>
      </c>
    </row>
    <row r="12" spans="1:5">
      <c r="B12" s="8" t="s">
        <v>9</v>
      </c>
      <c r="C12" s="8">
        <v>111</v>
      </c>
      <c r="D12" s="8">
        <v>831</v>
      </c>
      <c r="E12" s="9">
        <f>D12/2976</f>
        <v>0.27923387096774194</v>
      </c>
    </row>
    <row r="13" spans="1:5">
      <c r="B13" s="6" t="s">
        <v>10</v>
      </c>
      <c r="C13" s="6">
        <v>60</v>
      </c>
      <c r="D13" s="6">
        <v>180</v>
      </c>
      <c r="E13" s="7">
        <f>D13/2976</f>
        <v>6.0483870967741937E-2</v>
      </c>
    </row>
    <row r="14" spans="1:5">
      <c r="B14" s="8" t="s">
        <v>11</v>
      </c>
      <c r="C14" s="8">
        <v>20</v>
      </c>
      <c r="D14" s="8">
        <v>160</v>
      </c>
      <c r="E14" s="9">
        <f>D14/2976</f>
        <v>5.3763440860215055E-2</v>
      </c>
    </row>
    <row r="15" spans="1:5">
      <c r="B15" s="6" t="s">
        <v>12</v>
      </c>
      <c r="C15" s="6">
        <v>8</v>
      </c>
      <c r="D15" s="6">
        <v>130</v>
      </c>
      <c r="E15" s="7">
        <f>D15/2976</f>
        <v>4.3682795698924734E-2</v>
      </c>
    </row>
    <row r="16" spans="1:5">
      <c r="B16" s="8" t="s">
        <v>13</v>
      </c>
      <c r="C16" s="8">
        <v>1</v>
      </c>
      <c r="D16" s="8">
        <v>62</v>
      </c>
      <c r="E16" s="9">
        <f>D16/2976</f>
        <v>2.0833333333333332E-2</v>
      </c>
    </row>
    <row r="17" spans="2:5">
      <c r="B17" s="6" t="s">
        <v>14</v>
      </c>
      <c r="C17" s="6">
        <v>22</v>
      </c>
      <c r="D17" s="6">
        <v>22</v>
      </c>
      <c r="E17" s="7">
        <f>D17/2976</f>
        <v>7.3924731182795703E-3</v>
      </c>
    </row>
    <row r="18" spans="2:5">
      <c r="B18" s="8" t="s">
        <v>15</v>
      </c>
      <c r="C18" s="8">
        <v>10</v>
      </c>
      <c r="D18" s="8">
        <v>18</v>
      </c>
      <c r="E18" s="9">
        <f>D18/2976</f>
        <v>6.0483870967741934E-3</v>
      </c>
    </row>
    <row r="19" spans="2:5">
      <c r="B19" s="6" t="s">
        <v>16</v>
      </c>
      <c r="C19" s="6">
        <v>11</v>
      </c>
      <c r="D19" s="6">
        <v>17</v>
      </c>
      <c r="E19" s="7">
        <f>D19/2976</f>
        <v>5.7123655913978496E-3</v>
      </c>
    </row>
    <row r="20" spans="2:5">
      <c r="B20" s="8" t="s">
        <v>17</v>
      </c>
      <c r="C20" s="8">
        <v>2</v>
      </c>
      <c r="D20" s="8">
        <v>11</v>
      </c>
      <c r="E20" s="9">
        <f>D20/2976</f>
        <v>3.6962365591397851E-3</v>
      </c>
    </row>
    <row r="21" spans="2:5">
      <c r="B21" s="6" t="s">
        <v>18</v>
      </c>
      <c r="C21" s="6">
        <v>10</v>
      </c>
      <c r="D21" s="6">
        <v>10</v>
      </c>
      <c r="E21" s="7">
        <f>D21/2976</f>
        <v>3.3602150537634409E-3</v>
      </c>
    </row>
    <row r="22" spans="2:5">
      <c r="B22" s="8" t="s">
        <v>19</v>
      </c>
      <c r="C22" s="8">
        <v>5</v>
      </c>
      <c r="D22" s="8">
        <v>8</v>
      </c>
      <c r="E22" s="9">
        <f>D22/2976</f>
        <v>2.6881720430107529E-3</v>
      </c>
    </row>
    <row r="23" spans="2:5">
      <c r="B23" s="6" t="s">
        <v>20</v>
      </c>
      <c r="C23" s="6">
        <v>5</v>
      </c>
      <c r="D23" s="6">
        <v>8</v>
      </c>
      <c r="E23" s="7">
        <f>D23/2976</f>
        <v>2.6881720430107529E-3</v>
      </c>
    </row>
    <row r="24" spans="2:5">
      <c r="B24" s="8" t="s">
        <v>21</v>
      </c>
      <c r="C24" s="8">
        <v>2</v>
      </c>
      <c r="D24" s="8">
        <v>2</v>
      </c>
      <c r="E24" s="9">
        <f>D24/2976</f>
        <v>6.7204301075268823E-4</v>
      </c>
    </row>
    <row r="25" spans="2:5">
      <c r="B25" s="6" t="s">
        <v>22</v>
      </c>
      <c r="C25" s="6">
        <v>2</v>
      </c>
      <c r="D25" s="6">
        <v>2</v>
      </c>
      <c r="E25" s="7">
        <f>D25/2976</f>
        <v>6.7204301075268823E-4</v>
      </c>
    </row>
    <row r="26" spans="2:5">
      <c r="B26" s="8" t="s">
        <v>23</v>
      </c>
      <c r="C26" s="8">
        <v>1</v>
      </c>
      <c r="D26" s="8">
        <v>1</v>
      </c>
      <c r="E26" s="9">
        <f>D26/2976</f>
        <v>3.3602150537634411E-4</v>
      </c>
    </row>
    <row r="27" spans="2:5">
      <c r="B27" s="10" t="s">
        <v>24</v>
      </c>
      <c r="C27" s="10">
        <f>SUM(C11:C26)</f>
        <v>379</v>
      </c>
      <c r="D27" s="10">
        <f>SUM(D11:D26)</f>
        <v>2976</v>
      </c>
      <c r="E27" s="11">
        <f>SUM(E11:E26)</f>
        <v>1.0000000000000004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1"/>
  <sheetViews>
    <sheetView showGridLines="0" zoomScaleNormal="100" workbookViewId="0"/>
  </sheetViews>
  <sheetFormatPr defaultColWidth="8.7109375" defaultRowHeight="15"/>
  <cols>
    <col min="1" max="1" width="3" customWidth="1"/>
    <col min="2" max="2" width="34" customWidth="1"/>
    <col min="3" max="7" width="14" customWidth="1"/>
    <col min="8" max="8" width="12" customWidth="1"/>
  </cols>
  <sheetData>
    <row r="2" spans="2:8" ht="17.45">
      <c r="B2" s="1" t="s">
        <v>25</v>
      </c>
    </row>
    <row r="4" spans="2:8">
      <c r="B4" s="5" t="s">
        <v>6</v>
      </c>
      <c r="C4" s="5" t="s">
        <v>26</v>
      </c>
      <c r="D4" s="5" t="s">
        <v>27</v>
      </c>
      <c r="E4" s="5" t="s">
        <v>28</v>
      </c>
      <c r="F4" s="5" t="s">
        <v>29</v>
      </c>
      <c r="G4" s="5" t="s">
        <v>30</v>
      </c>
      <c r="H4" s="5" t="s">
        <v>31</v>
      </c>
    </row>
    <row r="5" spans="2:8">
      <c r="B5" s="6" t="s">
        <v>13</v>
      </c>
      <c r="C5" s="6">
        <v>0</v>
      </c>
      <c r="D5" s="6">
        <v>0</v>
      </c>
      <c r="E5" s="6">
        <v>0</v>
      </c>
      <c r="F5" s="6">
        <v>62</v>
      </c>
      <c r="G5" s="6">
        <v>0</v>
      </c>
      <c r="H5" s="12">
        <f>SUM(C5:G5)</f>
        <v>62</v>
      </c>
    </row>
    <row r="6" spans="2:8">
      <c r="B6" s="8" t="s">
        <v>8</v>
      </c>
      <c r="C6" s="8">
        <v>336</v>
      </c>
      <c r="D6" s="8">
        <v>896</v>
      </c>
      <c r="E6" s="8">
        <v>192</v>
      </c>
      <c r="F6" s="8">
        <v>90</v>
      </c>
      <c r="G6" s="8">
        <v>0</v>
      </c>
      <c r="H6" s="13">
        <f>SUM(C6:G6)</f>
        <v>1514</v>
      </c>
    </row>
    <row r="7" spans="2:8">
      <c r="B7" s="6" t="s">
        <v>23</v>
      </c>
      <c r="C7" s="6">
        <v>0</v>
      </c>
      <c r="D7" s="6">
        <v>1</v>
      </c>
      <c r="E7" s="6">
        <v>0</v>
      </c>
      <c r="F7" s="6">
        <v>0</v>
      </c>
      <c r="G7" s="6">
        <v>0</v>
      </c>
      <c r="H7" s="12">
        <f>SUM(C7:G7)</f>
        <v>1</v>
      </c>
    </row>
    <row r="8" spans="2:8">
      <c r="B8" s="8" t="s">
        <v>17</v>
      </c>
      <c r="C8" s="8">
        <v>11</v>
      </c>
      <c r="D8" s="8">
        <v>0</v>
      </c>
      <c r="E8" s="8">
        <v>0</v>
      </c>
      <c r="F8" s="8">
        <v>0</v>
      </c>
      <c r="G8" s="8">
        <v>0</v>
      </c>
      <c r="H8" s="13">
        <f>SUM(C8:G8)</f>
        <v>11</v>
      </c>
    </row>
    <row r="9" spans="2:8">
      <c r="B9" s="6" t="s">
        <v>21</v>
      </c>
      <c r="C9" s="6">
        <v>0</v>
      </c>
      <c r="D9" s="6">
        <v>0</v>
      </c>
      <c r="E9" s="6">
        <v>1</v>
      </c>
      <c r="F9" s="6">
        <v>1</v>
      </c>
      <c r="G9" s="6">
        <v>0</v>
      </c>
      <c r="H9" s="12">
        <f>SUM(C9:G9)</f>
        <v>2</v>
      </c>
    </row>
    <row r="10" spans="2:8">
      <c r="B10" s="8" t="s">
        <v>19</v>
      </c>
      <c r="C10" s="8">
        <v>6</v>
      </c>
      <c r="D10" s="8">
        <v>2</v>
      </c>
      <c r="E10" s="8">
        <v>0</v>
      </c>
      <c r="F10" s="8">
        <v>0</v>
      </c>
      <c r="G10" s="8">
        <v>0</v>
      </c>
      <c r="H10" s="13">
        <f>SUM(C10:G10)</f>
        <v>8</v>
      </c>
    </row>
    <row r="11" spans="2:8">
      <c r="B11" s="6" t="s">
        <v>15</v>
      </c>
      <c r="C11" s="6">
        <v>7</v>
      </c>
      <c r="D11" s="6">
        <v>4</v>
      </c>
      <c r="E11" s="6">
        <v>7</v>
      </c>
      <c r="F11" s="6">
        <v>0</v>
      </c>
      <c r="G11" s="6">
        <v>0</v>
      </c>
      <c r="H11" s="12">
        <f>SUM(C11:G11)</f>
        <v>18</v>
      </c>
    </row>
    <row r="12" spans="2:8">
      <c r="B12" s="8" t="s">
        <v>10</v>
      </c>
      <c r="C12" s="8">
        <v>0</v>
      </c>
      <c r="D12" s="8">
        <v>51</v>
      </c>
      <c r="E12" s="8">
        <v>114</v>
      </c>
      <c r="F12" s="8">
        <v>15</v>
      </c>
      <c r="G12" s="8">
        <v>0</v>
      </c>
      <c r="H12" s="13">
        <f>SUM(C12:G12)</f>
        <v>180</v>
      </c>
    </row>
    <row r="13" spans="2:8">
      <c r="B13" s="6" t="s">
        <v>14</v>
      </c>
      <c r="C13" s="6">
        <v>12</v>
      </c>
      <c r="D13" s="6">
        <v>9</v>
      </c>
      <c r="E13" s="6">
        <v>1</v>
      </c>
      <c r="F13" s="6">
        <v>0</v>
      </c>
      <c r="G13" s="6">
        <v>0</v>
      </c>
      <c r="H13" s="12">
        <f>SUM(C13:G13)</f>
        <v>22</v>
      </c>
    </row>
    <row r="14" spans="2:8">
      <c r="B14" s="8" t="s">
        <v>20</v>
      </c>
      <c r="C14" s="8">
        <v>0</v>
      </c>
      <c r="D14" s="8">
        <v>6</v>
      </c>
      <c r="E14" s="8">
        <v>1</v>
      </c>
      <c r="F14" s="8">
        <v>1</v>
      </c>
      <c r="G14" s="8">
        <v>0</v>
      </c>
      <c r="H14" s="13">
        <f>SUM(C14:G14)</f>
        <v>8</v>
      </c>
    </row>
    <row r="15" spans="2:8">
      <c r="B15" s="6" t="s">
        <v>18</v>
      </c>
      <c r="C15" s="6">
        <v>2</v>
      </c>
      <c r="D15" s="6">
        <v>7</v>
      </c>
      <c r="E15" s="6">
        <v>1</v>
      </c>
      <c r="F15" s="6">
        <v>0</v>
      </c>
      <c r="G15" s="6">
        <v>0</v>
      </c>
      <c r="H15" s="12">
        <f>SUM(C15:G15)</f>
        <v>10</v>
      </c>
    </row>
    <row r="16" spans="2:8">
      <c r="B16" s="8" t="s">
        <v>9</v>
      </c>
      <c r="C16" s="8">
        <v>92</v>
      </c>
      <c r="D16" s="8">
        <v>525</v>
      </c>
      <c r="E16" s="8">
        <v>191</v>
      </c>
      <c r="F16" s="8">
        <v>23</v>
      </c>
      <c r="G16" s="8">
        <v>0</v>
      </c>
      <c r="H16" s="13">
        <f>SUM(C16:G16)</f>
        <v>831</v>
      </c>
    </row>
    <row r="17" spans="2:8">
      <c r="B17" s="6" t="s">
        <v>11</v>
      </c>
      <c r="C17" s="6">
        <v>8</v>
      </c>
      <c r="D17" s="6">
        <v>64</v>
      </c>
      <c r="E17" s="6">
        <v>88</v>
      </c>
      <c r="F17" s="6">
        <v>0</v>
      </c>
      <c r="G17" s="6">
        <v>0</v>
      </c>
      <c r="H17" s="12">
        <f>SUM(C17:G17)</f>
        <v>160</v>
      </c>
    </row>
    <row r="18" spans="2:8">
      <c r="B18" s="8" t="s">
        <v>22</v>
      </c>
      <c r="C18" s="8">
        <v>0</v>
      </c>
      <c r="D18" s="8">
        <v>1</v>
      </c>
      <c r="E18" s="8">
        <v>1</v>
      </c>
      <c r="F18" s="8">
        <v>0</v>
      </c>
      <c r="G18" s="8">
        <v>0</v>
      </c>
      <c r="H18" s="13">
        <f>SUM(C18:G18)</f>
        <v>2</v>
      </c>
    </row>
    <row r="19" spans="2:8">
      <c r="B19" s="6" t="s">
        <v>16</v>
      </c>
      <c r="C19" s="6">
        <v>8</v>
      </c>
      <c r="D19" s="6">
        <v>7</v>
      </c>
      <c r="E19" s="6">
        <v>0</v>
      </c>
      <c r="F19" s="6">
        <v>2</v>
      </c>
      <c r="G19" s="6">
        <v>0</v>
      </c>
      <c r="H19" s="12">
        <f>SUM(C19:G19)</f>
        <v>17</v>
      </c>
    </row>
    <row r="20" spans="2:8">
      <c r="B20" s="8" t="s">
        <v>12</v>
      </c>
      <c r="C20" s="8">
        <v>0</v>
      </c>
      <c r="D20" s="8">
        <v>0</v>
      </c>
      <c r="E20" s="8">
        <v>4</v>
      </c>
      <c r="F20" s="8">
        <v>118</v>
      </c>
      <c r="G20" s="8">
        <v>8</v>
      </c>
      <c r="H20" s="13">
        <f>SUM(C20:G20)</f>
        <v>130</v>
      </c>
    </row>
    <row r="21" spans="2:8">
      <c r="B21" s="10" t="s">
        <v>24</v>
      </c>
      <c r="C21" s="10">
        <f>SUM(C5:C20)</f>
        <v>482</v>
      </c>
      <c r="D21" s="10">
        <f>SUM(D5:D20)</f>
        <v>1573</v>
      </c>
      <c r="E21" s="10">
        <f>SUM(E5:E20)</f>
        <v>601</v>
      </c>
      <c r="F21" s="10">
        <f>SUM(F5:F20)</f>
        <v>312</v>
      </c>
      <c r="G21" s="10">
        <f>SUM(G5:G20)</f>
        <v>8</v>
      </c>
      <c r="H21" s="10">
        <f>SUM(H5:H20)</f>
        <v>2976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14"/>
  <sheetViews>
    <sheetView showGridLines="0" zoomScaleNormal="100" workbookViewId="0">
      <pane xSplit="1" ySplit="5" topLeftCell="B6" activePane="bottomRight" state="frozen"/>
      <selection pane="bottomRight"/>
      <selection pane="bottomLeft" activeCell="A6" sqref="A6"/>
      <selection pane="topRight" activeCell="B1" sqref="B1"/>
    </sheetView>
  </sheetViews>
  <sheetFormatPr defaultColWidth="8.7109375" defaultRowHeight="15"/>
  <cols>
    <col min="1" max="1" width="3" customWidth="1"/>
    <col min="2" max="2" width="8" customWidth="1"/>
    <col min="3" max="3" width="55" customWidth="1"/>
    <col min="4" max="4" width="57" customWidth="1"/>
    <col min="5" max="5" width="10" customWidth="1"/>
    <col min="6" max="6" width="12" customWidth="1"/>
    <col min="7" max="7" width="8" customWidth="1"/>
    <col min="8" max="8" width="14" customWidth="1"/>
  </cols>
  <sheetData>
    <row r="2" spans="2:8" ht="17.45">
      <c r="B2" s="1" t="s">
        <v>8</v>
      </c>
    </row>
    <row r="3" spans="2:8">
      <c r="B3" s="2" t="s">
        <v>32</v>
      </c>
    </row>
    <row r="5" spans="2:8" ht="26.85">
      <c r="B5" s="5" t="s">
        <v>33</v>
      </c>
      <c r="C5" s="5" t="s">
        <v>34</v>
      </c>
      <c r="D5" s="5" t="s">
        <v>35</v>
      </c>
      <c r="E5" s="5" t="s">
        <v>36</v>
      </c>
      <c r="F5" s="5" t="s">
        <v>37</v>
      </c>
      <c r="G5" s="5" t="s">
        <v>38</v>
      </c>
      <c r="H5" s="5" t="s">
        <v>39</v>
      </c>
    </row>
    <row r="6" spans="2:8">
      <c r="B6" s="6">
        <v>944365</v>
      </c>
      <c r="C6" s="6" t="s">
        <v>40</v>
      </c>
      <c r="D6" s="6" t="s">
        <v>41</v>
      </c>
      <c r="E6" s="14">
        <v>5</v>
      </c>
      <c r="F6" s="15">
        <v>5</v>
      </c>
      <c r="G6" s="15">
        <v>65</v>
      </c>
      <c r="H6" s="15">
        <v>17</v>
      </c>
    </row>
    <row r="7" spans="2:8">
      <c r="B7" s="8">
        <v>944519</v>
      </c>
      <c r="C7" s="8" t="s">
        <v>42</v>
      </c>
      <c r="D7" s="8" t="s">
        <v>43</v>
      </c>
      <c r="E7" s="14">
        <v>5</v>
      </c>
      <c r="F7" s="16">
        <v>5</v>
      </c>
      <c r="G7" s="16">
        <v>95</v>
      </c>
      <c r="H7" s="16">
        <v>17</v>
      </c>
    </row>
    <row r="8" spans="2:8">
      <c r="B8" s="6">
        <v>944520</v>
      </c>
      <c r="C8" s="6" t="s">
        <v>44</v>
      </c>
      <c r="D8" s="6" t="s">
        <v>45</v>
      </c>
      <c r="E8" s="14">
        <v>5</v>
      </c>
      <c r="F8" s="15">
        <v>5</v>
      </c>
      <c r="G8" s="15">
        <v>65</v>
      </c>
      <c r="H8" s="15">
        <v>17</v>
      </c>
    </row>
    <row r="9" spans="2:8">
      <c r="B9" s="8">
        <v>944547</v>
      </c>
      <c r="C9" s="8" t="s">
        <v>46</v>
      </c>
      <c r="D9" s="8" t="s">
        <v>47</v>
      </c>
      <c r="E9" s="14">
        <v>5</v>
      </c>
      <c r="F9" s="16">
        <v>5</v>
      </c>
      <c r="G9" s="16">
        <v>95</v>
      </c>
      <c r="H9" s="16">
        <v>17</v>
      </c>
    </row>
    <row r="10" spans="2:8">
      <c r="B10" s="6">
        <v>944550</v>
      </c>
      <c r="C10" s="6" t="s">
        <v>48</v>
      </c>
      <c r="D10" s="6" t="s">
        <v>49</v>
      </c>
      <c r="E10" s="14">
        <v>5</v>
      </c>
      <c r="F10" s="15">
        <v>5</v>
      </c>
      <c r="G10" s="15">
        <v>72</v>
      </c>
      <c r="H10" s="15">
        <v>17</v>
      </c>
    </row>
    <row r="11" spans="2:8">
      <c r="B11" s="8">
        <v>944558</v>
      </c>
      <c r="C11" s="8" t="s">
        <v>50</v>
      </c>
      <c r="D11" s="8" t="s">
        <v>51</v>
      </c>
      <c r="E11" s="14">
        <v>5</v>
      </c>
      <c r="F11" s="16">
        <v>5</v>
      </c>
      <c r="G11" s="16">
        <v>65</v>
      </c>
      <c r="H11" s="16">
        <v>17</v>
      </c>
    </row>
    <row r="12" spans="2:8">
      <c r="B12" s="6">
        <v>944595</v>
      </c>
      <c r="C12" s="6" t="s">
        <v>52</v>
      </c>
      <c r="D12" s="6" t="s">
        <v>53</v>
      </c>
      <c r="E12" s="14">
        <v>5</v>
      </c>
      <c r="F12" s="15">
        <v>5</v>
      </c>
      <c r="G12" s="15">
        <v>95</v>
      </c>
      <c r="H12" s="15">
        <v>17</v>
      </c>
    </row>
    <row r="13" spans="2:8">
      <c r="B13" s="8">
        <v>944659</v>
      </c>
      <c r="C13" s="8" t="s">
        <v>54</v>
      </c>
      <c r="D13" s="8" t="s">
        <v>55</v>
      </c>
      <c r="E13" s="14">
        <v>5</v>
      </c>
      <c r="F13" s="16">
        <v>5</v>
      </c>
      <c r="G13" s="16">
        <v>65</v>
      </c>
      <c r="H13" s="16">
        <v>17</v>
      </c>
    </row>
    <row r="14" spans="2:8">
      <c r="B14" s="6">
        <v>944661</v>
      </c>
      <c r="C14" s="6" t="s">
        <v>56</v>
      </c>
      <c r="D14" s="6" t="s">
        <v>57</v>
      </c>
      <c r="E14" s="14">
        <v>5</v>
      </c>
      <c r="F14" s="15">
        <v>5</v>
      </c>
      <c r="G14" s="15">
        <v>72</v>
      </c>
      <c r="H14" s="15">
        <v>17</v>
      </c>
    </row>
    <row r="15" spans="2:8">
      <c r="B15" s="8">
        <v>944682</v>
      </c>
      <c r="C15" s="8" t="s">
        <v>58</v>
      </c>
      <c r="D15" s="8" t="s">
        <v>59</v>
      </c>
      <c r="E15" s="14">
        <v>5</v>
      </c>
      <c r="F15" s="16">
        <v>5</v>
      </c>
      <c r="G15" s="16">
        <v>65</v>
      </c>
      <c r="H15" s="16">
        <v>17</v>
      </c>
    </row>
    <row r="16" spans="2:8">
      <c r="B16" s="6">
        <v>944694</v>
      </c>
      <c r="C16" s="6" t="s">
        <v>60</v>
      </c>
      <c r="D16" s="6" t="s">
        <v>61</v>
      </c>
      <c r="E16" s="14">
        <v>5</v>
      </c>
      <c r="F16" s="15">
        <v>5</v>
      </c>
      <c r="G16" s="15">
        <v>65</v>
      </c>
      <c r="H16" s="15">
        <v>17</v>
      </c>
    </row>
    <row r="17" spans="2:8">
      <c r="B17" s="8">
        <v>944762</v>
      </c>
      <c r="C17" s="8" t="s">
        <v>62</v>
      </c>
      <c r="D17" s="8" t="s">
        <v>63</v>
      </c>
      <c r="E17" s="14">
        <v>5</v>
      </c>
      <c r="F17" s="16">
        <v>5</v>
      </c>
      <c r="G17" s="16">
        <v>65</v>
      </c>
      <c r="H17" s="16">
        <v>17</v>
      </c>
    </row>
    <row r="18" spans="2:8">
      <c r="B18" s="6">
        <v>944855</v>
      </c>
      <c r="C18" s="6" t="s">
        <v>64</v>
      </c>
      <c r="D18" s="6" t="s">
        <v>65</v>
      </c>
      <c r="E18" s="14">
        <v>5</v>
      </c>
      <c r="F18" s="15">
        <v>5</v>
      </c>
      <c r="G18" s="15">
        <v>72</v>
      </c>
      <c r="H18" s="15">
        <v>17</v>
      </c>
    </row>
    <row r="19" spans="2:8">
      <c r="B19" s="8">
        <v>944936</v>
      </c>
      <c r="C19" s="8" t="s">
        <v>66</v>
      </c>
      <c r="D19" s="8" t="s">
        <v>67</v>
      </c>
      <c r="E19" s="14">
        <v>5</v>
      </c>
      <c r="F19" s="16">
        <v>5</v>
      </c>
      <c r="G19" s="16">
        <v>65</v>
      </c>
      <c r="H19" s="16">
        <v>17</v>
      </c>
    </row>
    <row r="20" spans="2:8">
      <c r="B20" s="6">
        <v>944986</v>
      </c>
      <c r="C20" s="6" t="s">
        <v>68</v>
      </c>
      <c r="D20" s="6" t="s">
        <v>69</v>
      </c>
      <c r="E20" s="14">
        <v>5</v>
      </c>
      <c r="F20" s="15">
        <v>5</v>
      </c>
      <c r="G20" s="15">
        <v>65</v>
      </c>
      <c r="H20" s="15">
        <v>17</v>
      </c>
    </row>
    <row r="21" spans="2:8">
      <c r="B21" s="8">
        <v>945183</v>
      </c>
      <c r="C21" s="8" t="s">
        <v>70</v>
      </c>
      <c r="D21" s="8" t="s">
        <v>71</v>
      </c>
      <c r="E21" s="14">
        <v>5</v>
      </c>
      <c r="F21" s="16">
        <v>5</v>
      </c>
      <c r="G21" s="16">
        <v>65</v>
      </c>
      <c r="H21" s="16">
        <v>17</v>
      </c>
    </row>
    <row r="22" spans="2:8">
      <c r="B22" s="6">
        <v>945203</v>
      </c>
      <c r="C22" s="6" t="s">
        <v>72</v>
      </c>
      <c r="D22" s="6" t="s">
        <v>73</v>
      </c>
      <c r="E22" s="14">
        <v>5</v>
      </c>
      <c r="F22" s="15">
        <v>5</v>
      </c>
      <c r="G22" s="15">
        <v>65</v>
      </c>
      <c r="H22" s="15">
        <v>17</v>
      </c>
    </row>
    <row r="23" spans="2:8">
      <c r="B23" s="8">
        <v>945211</v>
      </c>
      <c r="C23" s="8" t="s">
        <v>74</v>
      </c>
      <c r="D23" s="8" t="s">
        <v>75</v>
      </c>
      <c r="E23" s="14">
        <v>5</v>
      </c>
      <c r="F23" s="16">
        <v>5</v>
      </c>
      <c r="G23" s="16">
        <v>42</v>
      </c>
      <c r="H23" s="16">
        <v>17</v>
      </c>
    </row>
    <row r="24" spans="2:8">
      <c r="B24" s="6">
        <v>944376</v>
      </c>
      <c r="C24" s="6" t="s">
        <v>76</v>
      </c>
      <c r="D24" s="6" t="s">
        <v>77</v>
      </c>
      <c r="E24" s="14">
        <v>5</v>
      </c>
      <c r="F24" s="15">
        <v>5</v>
      </c>
      <c r="G24" s="15">
        <v>72</v>
      </c>
      <c r="H24" s="15">
        <v>5</v>
      </c>
    </row>
    <row r="25" spans="2:8">
      <c r="B25" s="8">
        <v>944633</v>
      </c>
      <c r="C25" s="8" t="s">
        <v>78</v>
      </c>
      <c r="D25" s="8" t="s">
        <v>79</v>
      </c>
      <c r="E25" s="14">
        <v>5</v>
      </c>
      <c r="F25" s="16">
        <v>5</v>
      </c>
      <c r="G25" s="16">
        <v>65</v>
      </c>
      <c r="H25" s="16">
        <v>5</v>
      </c>
    </row>
    <row r="26" spans="2:8">
      <c r="B26" s="6">
        <v>944783</v>
      </c>
      <c r="C26" s="6" t="s">
        <v>80</v>
      </c>
      <c r="D26" s="6" t="s">
        <v>81</v>
      </c>
      <c r="E26" s="14">
        <v>5</v>
      </c>
      <c r="F26" s="15">
        <v>5</v>
      </c>
      <c r="G26" s="15">
        <v>65</v>
      </c>
      <c r="H26" s="15">
        <v>5</v>
      </c>
    </row>
    <row r="27" spans="2:8">
      <c r="B27" s="8">
        <v>944787</v>
      </c>
      <c r="C27" s="8" t="s">
        <v>82</v>
      </c>
      <c r="D27" s="8" t="s">
        <v>83</v>
      </c>
      <c r="E27" s="14">
        <v>5</v>
      </c>
      <c r="F27" s="16">
        <v>5</v>
      </c>
      <c r="G27" s="16">
        <v>65</v>
      </c>
      <c r="H27" s="16">
        <v>5</v>
      </c>
    </row>
    <row r="28" spans="2:8">
      <c r="B28" s="6">
        <v>945023</v>
      </c>
      <c r="C28" s="6" t="s">
        <v>84</v>
      </c>
      <c r="D28" s="6" t="s">
        <v>85</v>
      </c>
      <c r="E28" s="14">
        <v>5</v>
      </c>
      <c r="F28" s="15">
        <v>5</v>
      </c>
      <c r="G28" s="15">
        <v>35</v>
      </c>
      <c r="H28" s="15">
        <v>5</v>
      </c>
    </row>
    <row r="29" spans="2:8">
      <c r="B29" s="8">
        <v>945095</v>
      </c>
      <c r="C29" s="8" t="s">
        <v>86</v>
      </c>
      <c r="D29" s="8" t="s">
        <v>87</v>
      </c>
      <c r="E29" s="14">
        <v>5</v>
      </c>
      <c r="F29" s="16">
        <v>5</v>
      </c>
      <c r="G29" s="16">
        <v>65</v>
      </c>
      <c r="H29" s="16">
        <v>5</v>
      </c>
    </row>
    <row r="30" spans="2:8">
      <c r="B30" s="6">
        <v>944341</v>
      </c>
      <c r="C30" s="6" t="s">
        <v>88</v>
      </c>
      <c r="D30" s="6" t="s">
        <v>89</v>
      </c>
      <c r="E30" s="17">
        <v>4</v>
      </c>
      <c r="F30" s="15">
        <v>4</v>
      </c>
      <c r="G30" s="15">
        <v>35</v>
      </c>
      <c r="H30" s="15">
        <v>17</v>
      </c>
    </row>
    <row r="31" spans="2:8">
      <c r="B31" s="8">
        <v>944342</v>
      </c>
      <c r="C31" s="8" t="s">
        <v>90</v>
      </c>
      <c r="D31" s="8" t="s">
        <v>91</v>
      </c>
      <c r="E31" s="17">
        <v>4</v>
      </c>
      <c r="F31" s="16">
        <v>4</v>
      </c>
      <c r="G31" s="16">
        <v>35</v>
      </c>
      <c r="H31" s="16">
        <v>17</v>
      </c>
    </row>
    <row r="32" spans="2:8">
      <c r="B32" s="6">
        <v>944343</v>
      </c>
      <c r="C32" s="6" t="s">
        <v>92</v>
      </c>
      <c r="D32" s="6" t="s">
        <v>93</v>
      </c>
      <c r="E32" s="17">
        <v>4</v>
      </c>
      <c r="F32" s="15">
        <v>4</v>
      </c>
      <c r="G32" s="15">
        <v>35</v>
      </c>
      <c r="H32" s="15">
        <v>17</v>
      </c>
    </row>
    <row r="33" spans="2:8">
      <c r="B33" s="8">
        <v>944356</v>
      </c>
      <c r="C33" s="8" t="s">
        <v>94</v>
      </c>
      <c r="D33" s="8" t="s">
        <v>95</v>
      </c>
      <c r="E33" s="17">
        <v>4</v>
      </c>
      <c r="F33" s="16">
        <v>4</v>
      </c>
      <c r="G33" s="16">
        <v>35</v>
      </c>
      <c r="H33" s="16">
        <v>17</v>
      </c>
    </row>
    <row r="34" spans="2:8">
      <c r="B34" s="6">
        <v>944357</v>
      </c>
      <c r="C34" s="6" t="s">
        <v>96</v>
      </c>
      <c r="D34" s="6" t="s">
        <v>97</v>
      </c>
      <c r="E34" s="17">
        <v>4</v>
      </c>
      <c r="F34" s="15">
        <v>4</v>
      </c>
      <c r="G34" s="15">
        <v>95</v>
      </c>
      <c r="H34" s="15">
        <v>17</v>
      </c>
    </row>
    <row r="35" spans="2:8">
      <c r="B35" s="8">
        <v>944360</v>
      </c>
      <c r="C35" s="8" t="s">
        <v>98</v>
      </c>
      <c r="D35" s="8" t="s">
        <v>99</v>
      </c>
      <c r="E35" s="17">
        <v>4</v>
      </c>
      <c r="F35" s="16">
        <v>4</v>
      </c>
      <c r="G35" s="16">
        <v>42</v>
      </c>
      <c r="H35" s="16">
        <v>17</v>
      </c>
    </row>
    <row r="36" spans="2:8">
      <c r="B36" s="6">
        <v>944383</v>
      </c>
      <c r="C36" s="6" t="s">
        <v>100</v>
      </c>
      <c r="D36" s="6" t="s">
        <v>101</v>
      </c>
      <c r="E36" s="17">
        <v>4</v>
      </c>
      <c r="F36" s="15">
        <v>4</v>
      </c>
      <c r="G36" s="15">
        <v>35</v>
      </c>
      <c r="H36" s="15">
        <v>17</v>
      </c>
    </row>
    <row r="37" spans="2:8">
      <c r="B37" s="8">
        <v>944384</v>
      </c>
      <c r="C37" s="8" t="s">
        <v>102</v>
      </c>
      <c r="D37" s="8" t="s">
        <v>103</v>
      </c>
      <c r="E37" s="17">
        <v>4</v>
      </c>
      <c r="F37" s="16">
        <v>4</v>
      </c>
      <c r="G37" s="16">
        <v>35</v>
      </c>
      <c r="H37" s="16">
        <v>17</v>
      </c>
    </row>
    <row r="38" spans="2:8">
      <c r="B38" s="6">
        <v>944385</v>
      </c>
      <c r="C38" s="6" t="s">
        <v>104</v>
      </c>
      <c r="D38" s="6" t="s">
        <v>105</v>
      </c>
      <c r="E38" s="17">
        <v>4</v>
      </c>
      <c r="F38" s="15">
        <v>4</v>
      </c>
      <c r="G38" s="15">
        <v>35</v>
      </c>
      <c r="H38" s="15">
        <v>17</v>
      </c>
    </row>
    <row r="39" spans="2:8">
      <c r="B39" s="8">
        <v>944396</v>
      </c>
      <c r="C39" s="8" t="s">
        <v>106</v>
      </c>
      <c r="D39" s="8" t="s">
        <v>107</v>
      </c>
      <c r="E39" s="17">
        <v>4</v>
      </c>
      <c r="F39" s="16">
        <v>4</v>
      </c>
      <c r="G39" s="16">
        <v>37</v>
      </c>
      <c r="H39" s="16">
        <v>17</v>
      </c>
    </row>
    <row r="40" spans="2:8">
      <c r="B40" s="6">
        <v>944496</v>
      </c>
      <c r="C40" s="6" t="s">
        <v>108</v>
      </c>
      <c r="D40" s="6" t="s">
        <v>109</v>
      </c>
      <c r="E40" s="17">
        <v>4</v>
      </c>
      <c r="F40" s="15">
        <v>4</v>
      </c>
      <c r="G40" s="15">
        <v>35</v>
      </c>
      <c r="H40" s="15">
        <v>17</v>
      </c>
    </row>
    <row r="41" spans="2:8">
      <c r="B41" s="8">
        <v>944506</v>
      </c>
      <c r="C41" s="8" t="s">
        <v>110</v>
      </c>
      <c r="D41" s="8" t="s">
        <v>111</v>
      </c>
      <c r="E41" s="17">
        <v>4</v>
      </c>
      <c r="F41" s="16">
        <v>4</v>
      </c>
      <c r="G41" s="16">
        <v>35</v>
      </c>
      <c r="H41" s="16">
        <v>17</v>
      </c>
    </row>
    <row r="42" spans="2:8">
      <c r="B42" s="6">
        <v>944518</v>
      </c>
      <c r="C42" s="6" t="s">
        <v>112</v>
      </c>
      <c r="D42" s="6" t="s">
        <v>113</v>
      </c>
      <c r="E42" s="17">
        <v>4</v>
      </c>
      <c r="F42" s="15">
        <v>4</v>
      </c>
      <c r="G42" s="15">
        <v>35</v>
      </c>
      <c r="H42" s="15">
        <v>17</v>
      </c>
    </row>
    <row r="43" spans="2:8">
      <c r="B43" s="8">
        <v>944544</v>
      </c>
      <c r="C43" s="8" t="s">
        <v>114</v>
      </c>
      <c r="D43" s="8" t="s">
        <v>115</v>
      </c>
      <c r="E43" s="17">
        <v>4</v>
      </c>
      <c r="F43" s="16">
        <v>4</v>
      </c>
      <c r="G43" s="16">
        <v>42</v>
      </c>
      <c r="H43" s="16">
        <v>17</v>
      </c>
    </row>
    <row r="44" spans="2:8">
      <c r="B44" s="6">
        <v>944545</v>
      </c>
      <c r="C44" s="6" t="s">
        <v>116</v>
      </c>
      <c r="D44" s="6" t="s">
        <v>117</v>
      </c>
      <c r="E44" s="17">
        <v>4</v>
      </c>
      <c r="F44" s="15">
        <v>4</v>
      </c>
      <c r="G44" s="15">
        <v>35</v>
      </c>
      <c r="H44" s="15">
        <v>17</v>
      </c>
    </row>
    <row r="45" spans="2:8">
      <c r="B45" s="8">
        <v>944553</v>
      </c>
      <c r="C45" s="8" t="s">
        <v>118</v>
      </c>
      <c r="D45" s="8" t="s">
        <v>119</v>
      </c>
      <c r="E45" s="17">
        <v>4</v>
      </c>
      <c r="F45" s="16">
        <v>4</v>
      </c>
      <c r="G45" s="16">
        <v>95</v>
      </c>
      <c r="H45" s="16">
        <v>17</v>
      </c>
    </row>
    <row r="46" spans="2:8">
      <c r="B46" s="6">
        <v>944584</v>
      </c>
      <c r="C46" s="6" t="s">
        <v>120</v>
      </c>
      <c r="D46" s="6" t="s">
        <v>121</v>
      </c>
      <c r="E46" s="17">
        <v>4</v>
      </c>
      <c r="F46" s="15">
        <v>4</v>
      </c>
      <c r="G46" s="15">
        <v>35</v>
      </c>
      <c r="H46" s="15">
        <v>17</v>
      </c>
    </row>
    <row r="47" spans="2:8">
      <c r="B47" s="8">
        <v>944627</v>
      </c>
      <c r="C47" s="8" t="s">
        <v>122</v>
      </c>
      <c r="D47" s="8" t="s">
        <v>123</v>
      </c>
      <c r="E47" s="17">
        <v>4</v>
      </c>
      <c r="F47" s="16">
        <v>4</v>
      </c>
      <c r="G47" s="16">
        <v>35</v>
      </c>
      <c r="H47" s="16">
        <v>17</v>
      </c>
    </row>
    <row r="48" spans="2:8">
      <c r="B48" s="6">
        <v>944628</v>
      </c>
      <c r="C48" s="6" t="s">
        <v>124</v>
      </c>
      <c r="D48" s="6" t="s">
        <v>125</v>
      </c>
      <c r="E48" s="17">
        <v>4</v>
      </c>
      <c r="F48" s="15">
        <v>4</v>
      </c>
      <c r="G48" s="15">
        <v>42</v>
      </c>
      <c r="H48" s="15">
        <v>17</v>
      </c>
    </row>
    <row r="49" spans="2:8">
      <c r="B49" s="8">
        <v>944629</v>
      </c>
      <c r="C49" s="8" t="s">
        <v>126</v>
      </c>
      <c r="D49" s="8" t="s">
        <v>127</v>
      </c>
      <c r="E49" s="17">
        <v>4</v>
      </c>
      <c r="F49" s="16">
        <v>4</v>
      </c>
      <c r="G49" s="16">
        <v>42</v>
      </c>
      <c r="H49" s="16">
        <v>17</v>
      </c>
    </row>
    <row r="50" spans="2:8">
      <c r="B50" s="6">
        <v>944658</v>
      </c>
      <c r="C50" s="6" t="s">
        <v>128</v>
      </c>
      <c r="D50" s="6" t="s">
        <v>129</v>
      </c>
      <c r="E50" s="17">
        <v>4</v>
      </c>
      <c r="F50" s="15">
        <v>4</v>
      </c>
      <c r="G50" s="15">
        <v>42</v>
      </c>
      <c r="H50" s="15">
        <v>17</v>
      </c>
    </row>
    <row r="51" spans="2:8">
      <c r="B51" s="8">
        <v>944765</v>
      </c>
      <c r="C51" s="8" t="s">
        <v>130</v>
      </c>
      <c r="D51" s="8" t="s">
        <v>131</v>
      </c>
      <c r="E51" s="17">
        <v>4</v>
      </c>
      <c r="F51" s="16">
        <v>4</v>
      </c>
      <c r="G51" s="16">
        <v>42</v>
      </c>
      <c r="H51" s="16">
        <v>17</v>
      </c>
    </row>
    <row r="52" spans="2:8">
      <c r="B52" s="6">
        <v>944775</v>
      </c>
      <c r="C52" s="6" t="s">
        <v>132</v>
      </c>
      <c r="D52" s="6" t="s">
        <v>133</v>
      </c>
      <c r="E52" s="17">
        <v>4</v>
      </c>
      <c r="F52" s="15">
        <v>4</v>
      </c>
      <c r="G52" s="15">
        <v>42</v>
      </c>
      <c r="H52" s="15">
        <v>17</v>
      </c>
    </row>
    <row r="53" spans="2:8">
      <c r="B53" s="8">
        <v>944786</v>
      </c>
      <c r="C53" s="8" t="s">
        <v>134</v>
      </c>
      <c r="D53" s="8" t="s">
        <v>135</v>
      </c>
      <c r="E53" s="17">
        <v>4</v>
      </c>
      <c r="F53" s="16">
        <v>4</v>
      </c>
      <c r="G53" s="16">
        <v>95</v>
      </c>
      <c r="H53" s="16">
        <v>17</v>
      </c>
    </row>
    <row r="54" spans="2:8">
      <c r="B54" s="6">
        <v>944820</v>
      </c>
      <c r="C54" s="6" t="s">
        <v>136</v>
      </c>
      <c r="D54" s="6" t="s">
        <v>137</v>
      </c>
      <c r="E54" s="17">
        <v>4</v>
      </c>
      <c r="F54" s="15">
        <v>4</v>
      </c>
      <c r="G54" s="15">
        <v>42</v>
      </c>
      <c r="H54" s="15">
        <v>17</v>
      </c>
    </row>
    <row r="55" spans="2:8">
      <c r="B55" s="8">
        <v>944825</v>
      </c>
      <c r="C55" s="8" t="s">
        <v>138</v>
      </c>
      <c r="D55" s="8" t="s">
        <v>139</v>
      </c>
      <c r="E55" s="17">
        <v>4</v>
      </c>
      <c r="F55" s="16">
        <v>4</v>
      </c>
      <c r="G55" s="16">
        <v>35</v>
      </c>
      <c r="H55" s="16">
        <v>17</v>
      </c>
    </row>
    <row r="56" spans="2:8">
      <c r="B56" s="6">
        <v>944881</v>
      </c>
      <c r="C56" s="6" t="s">
        <v>140</v>
      </c>
      <c r="D56" s="6" t="s">
        <v>141</v>
      </c>
      <c r="E56" s="17">
        <v>4</v>
      </c>
      <c r="F56" s="15">
        <v>4</v>
      </c>
      <c r="G56" s="15">
        <v>35</v>
      </c>
      <c r="H56" s="15">
        <v>17</v>
      </c>
    </row>
    <row r="57" spans="2:8">
      <c r="B57" s="8">
        <v>944890</v>
      </c>
      <c r="C57" s="8" t="s">
        <v>142</v>
      </c>
      <c r="D57" s="8" t="s">
        <v>143</v>
      </c>
      <c r="E57" s="17">
        <v>4</v>
      </c>
      <c r="F57" s="16">
        <v>4</v>
      </c>
      <c r="G57" s="16">
        <v>42</v>
      </c>
      <c r="H57" s="16">
        <v>17</v>
      </c>
    </row>
    <row r="58" spans="2:8">
      <c r="B58" s="6">
        <v>944901</v>
      </c>
      <c r="C58" s="6" t="s">
        <v>144</v>
      </c>
      <c r="D58" s="6" t="s">
        <v>145</v>
      </c>
      <c r="E58" s="17">
        <v>4</v>
      </c>
      <c r="F58" s="15">
        <v>4</v>
      </c>
      <c r="G58" s="15">
        <v>42</v>
      </c>
      <c r="H58" s="15">
        <v>17</v>
      </c>
    </row>
    <row r="59" spans="2:8">
      <c r="B59" s="8">
        <v>944904</v>
      </c>
      <c r="C59" s="8" t="s">
        <v>146</v>
      </c>
      <c r="D59" s="8" t="s">
        <v>147</v>
      </c>
      <c r="E59" s="17">
        <v>4</v>
      </c>
      <c r="F59" s="16">
        <v>4</v>
      </c>
      <c r="G59" s="16">
        <v>35</v>
      </c>
      <c r="H59" s="16">
        <v>17</v>
      </c>
    </row>
    <row r="60" spans="2:8">
      <c r="B60" s="6">
        <v>944941</v>
      </c>
      <c r="C60" s="6" t="s">
        <v>148</v>
      </c>
      <c r="D60" s="6" t="s">
        <v>149</v>
      </c>
      <c r="E60" s="17">
        <v>4</v>
      </c>
      <c r="F60" s="15">
        <v>4</v>
      </c>
      <c r="G60" s="15">
        <v>65</v>
      </c>
      <c r="H60" s="15">
        <v>17</v>
      </c>
    </row>
    <row r="61" spans="2:8">
      <c r="B61" s="8">
        <v>944942</v>
      </c>
      <c r="C61" s="8" t="s">
        <v>150</v>
      </c>
      <c r="D61" s="8" t="s">
        <v>151</v>
      </c>
      <c r="E61" s="17">
        <v>4</v>
      </c>
      <c r="F61" s="16">
        <v>4</v>
      </c>
      <c r="G61" s="16">
        <v>42</v>
      </c>
      <c r="H61" s="16">
        <v>17</v>
      </c>
    </row>
    <row r="62" spans="2:8">
      <c r="B62" s="6">
        <v>944947</v>
      </c>
      <c r="C62" s="6" t="s">
        <v>152</v>
      </c>
      <c r="D62" s="6" t="s">
        <v>153</v>
      </c>
      <c r="E62" s="17">
        <v>4</v>
      </c>
      <c r="F62" s="15">
        <v>4</v>
      </c>
      <c r="G62" s="15">
        <v>35</v>
      </c>
      <c r="H62" s="15">
        <v>17</v>
      </c>
    </row>
    <row r="63" spans="2:8">
      <c r="B63" s="8">
        <v>944995</v>
      </c>
      <c r="C63" s="8" t="s">
        <v>154</v>
      </c>
      <c r="D63" s="8" t="s">
        <v>155</v>
      </c>
      <c r="E63" s="17">
        <v>4</v>
      </c>
      <c r="F63" s="16">
        <v>4</v>
      </c>
      <c r="G63" s="16">
        <v>35</v>
      </c>
      <c r="H63" s="16">
        <v>17</v>
      </c>
    </row>
    <row r="64" spans="2:8">
      <c r="B64" s="6">
        <v>945007</v>
      </c>
      <c r="C64" s="6" t="s">
        <v>156</v>
      </c>
      <c r="D64" s="6" t="s">
        <v>157</v>
      </c>
      <c r="E64" s="17">
        <v>4</v>
      </c>
      <c r="F64" s="15">
        <v>4</v>
      </c>
      <c r="G64" s="15">
        <v>35</v>
      </c>
      <c r="H64" s="15">
        <v>17</v>
      </c>
    </row>
    <row r="65" spans="2:8">
      <c r="B65" s="8">
        <v>945008</v>
      </c>
      <c r="C65" s="8" t="s">
        <v>158</v>
      </c>
      <c r="D65" s="8" t="s">
        <v>159</v>
      </c>
      <c r="E65" s="17">
        <v>4</v>
      </c>
      <c r="F65" s="16">
        <v>4</v>
      </c>
      <c r="G65" s="16">
        <v>35</v>
      </c>
      <c r="H65" s="16">
        <v>17</v>
      </c>
    </row>
    <row r="66" spans="2:8">
      <c r="B66" s="6">
        <v>945042</v>
      </c>
      <c r="C66" s="6" t="s">
        <v>160</v>
      </c>
      <c r="D66" s="6" t="s">
        <v>161</v>
      </c>
      <c r="E66" s="17">
        <v>4</v>
      </c>
      <c r="F66" s="15">
        <v>4</v>
      </c>
      <c r="G66" s="15">
        <v>42</v>
      </c>
      <c r="H66" s="15">
        <v>17</v>
      </c>
    </row>
    <row r="67" spans="2:8">
      <c r="B67" s="8">
        <v>945044</v>
      </c>
      <c r="C67" s="8" t="s">
        <v>162</v>
      </c>
      <c r="D67" s="8" t="s">
        <v>163</v>
      </c>
      <c r="E67" s="17">
        <v>4</v>
      </c>
      <c r="F67" s="16">
        <v>4</v>
      </c>
      <c r="G67" s="16">
        <v>35</v>
      </c>
      <c r="H67" s="16">
        <v>17</v>
      </c>
    </row>
    <row r="68" spans="2:8">
      <c r="B68" s="6">
        <v>945069</v>
      </c>
      <c r="C68" s="6" t="s">
        <v>164</v>
      </c>
      <c r="D68" s="6" t="s">
        <v>165</v>
      </c>
      <c r="E68" s="17">
        <v>4</v>
      </c>
      <c r="F68" s="15">
        <v>4</v>
      </c>
      <c r="G68" s="15">
        <v>35</v>
      </c>
      <c r="H68" s="15">
        <v>17</v>
      </c>
    </row>
    <row r="69" spans="2:8">
      <c r="B69" s="8">
        <v>945070</v>
      </c>
      <c r="C69" s="8" t="s">
        <v>166</v>
      </c>
      <c r="D69" s="8" t="s">
        <v>167</v>
      </c>
      <c r="E69" s="17">
        <v>4</v>
      </c>
      <c r="F69" s="16">
        <v>4</v>
      </c>
      <c r="G69" s="16">
        <v>35</v>
      </c>
      <c r="H69" s="16">
        <v>17</v>
      </c>
    </row>
    <row r="70" spans="2:8">
      <c r="B70" s="6">
        <v>945087</v>
      </c>
      <c r="C70" s="6" t="s">
        <v>168</v>
      </c>
      <c r="D70" s="6" t="s">
        <v>169</v>
      </c>
      <c r="E70" s="17">
        <v>4</v>
      </c>
      <c r="F70" s="15">
        <v>4</v>
      </c>
      <c r="G70" s="15">
        <v>42</v>
      </c>
      <c r="H70" s="15">
        <v>17</v>
      </c>
    </row>
    <row r="71" spans="2:8">
      <c r="B71" s="8">
        <v>945090</v>
      </c>
      <c r="C71" s="8" t="s">
        <v>170</v>
      </c>
      <c r="D71" s="8" t="s">
        <v>171</v>
      </c>
      <c r="E71" s="17">
        <v>4</v>
      </c>
      <c r="F71" s="16">
        <v>4</v>
      </c>
      <c r="G71" s="16">
        <v>42</v>
      </c>
      <c r="H71" s="16">
        <v>17</v>
      </c>
    </row>
    <row r="72" spans="2:8">
      <c r="B72" s="6">
        <v>945091</v>
      </c>
      <c r="C72" s="6" t="s">
        <v>172</v>
      </c>
      <c r="D72" s="6" t="s">
        <v>173</v>
      </c>
      <c r="E72" s="17">
        <v>4</v>
      </c>
      <c r="F72" s="15">
        <v>4</v>
      </c>
      <c r="G72" s="15">
        <v>42</v>
      </c>
      <c r="H72" s="15">
        <v>17</v>
      </c>
    </row>
    <row r="73" spans="2:8">
      <c r="B73" s="8">
        <v>945147</v>
      </c>
      <c r="C73" s="8" t="s">
        <v>174</v>
      </c>
      <c r="D73" s="8" t="s">
        <v>175</v>
      </c>
      <c r="E73" s="17">
        <v>4</v>
      </c>
      <c r="F73" s="16">
        <v>4</v>
      </c>
      <c r="G73" s="16">
        <v>35</v>
      </c>
      <c r="H73" s="16">
        <v>17</v>
      </c>
    </row>
    <row r="74" spans="2:8">
      <c r="B74" s="6">
        <v>945184</v>
      </c>
      <c r="C74" s="6" t="s">
        <v>176</v>
      </c>
      <c r="D74" s="6" t="s">
        <v>177</v>
      </c>
      <c r="E74" s="17">
        <v>4</v>
      </c>
      <c r="F74" s="15">
        <v>4</v>
      </c>
      <c r="G74" s="15">
        <v>35</v>
      </c>
      <c r="H74" s="15">
        <v>17</v>
      </c>
    </row>
    <row r="75" spans="2:8">
      <c r="B75" s="8">
        <v>945201</v>
      </c>
      <c r="C75" s="8" t="s">
        <v>178</v>
      </c>
      <c r="D75" s="8" t="s">
        <v>179</v>
      </c>
      <c r="E75" s="17">
        <v>4</v>
      </c>
      <c r="F75" s="16">
        <v>4</v>
      </c>
      <c r="G75" s="16">
        <v>35</v>
      </c>
      <c r="H75" s="16">
        <v>17</v>
      </c>
    </row>
    <row r="76" spans="2:8">
      <c r="B76" s="6">
        <v>945222</v>
      </c>
      <c r="C76" s="6" t="s">
        <v>180</v>
      </c>
      <c r="D76" s="6" t="s">
        <v>181</v>
      </c>
      <c r="E76" s="17">
        <v>4</v>
      </c>
      <c r="F76" s="15">
        <v>4</v>
      </c>
      <c r="G76" s="15">
        <v>30</v>
      </c>
      <c r="H76" s="15">
        <v>17</v>
      </c>
    </row>
    <row r="77" spans="2:8">
      <c r="B77" s="8">
        <v>944351</v>
      </c>
      <c r="C77" s="8" t="s">
        <v>182</v>
      </c>
      <c r="D77" s="8" t="s">
        <v>183</v>
      </c>
      <c r="E77" s="17">
        <v>4</v>
      </c>
      <c r="F77" s="16">
        <v>4</v>
      </c>
      <c r="G77" s="16">
        <v>37</v>
      </c>
      <c r="H77" s="16">
        <v>5</v>
      </c>
    </row>
    <row r="78" spans="2:8">
      <c r="B78" s="6">
        <v>944353</v>
      </c>
      <c r="C78" s="6" t="s">
        <v>184</v>
      </c>
      <c r="D78" s="6" t="s">
        <v>185</v>
      </c>
      <c r="E78" s="17">
        <v>4</v>
      </c>
      <c r="F78" s="15">
        <v>4</v>
      </c>
      <c r="G78" s="15">
        <v>42</v>
      </c>
      <c r="H78" s="15">
        <v>5</v>
      </c>
    </row>
    <row r="79" spans="2:8">
      <c r="B79" s="8">
        <v>944361</v>
      </c>
      <c r="C79" s="8" t="s">
        <v>186</v>
      </c>
      <c r="D79" s="8" t="s">
        <v>187</v>
      </c>
      <c r="E79" s="17">
        <v>4</v>
      </c>
      <c r="F79" s="16">
        <v>4</v>
      </c>
      <c r="G79" s="16">
        <v>42</v>
      </c>
      <c r="H79" s="16">
        <v>5</v>
      </c>
    </row>
    <row r="80" spans="2:8">
      <c r="B80" s="6">
        <v>944362</v>
      </c>
      <c r="C80" s="6" t="s">
        <v>188</v>
      </c>
      <c r="D80" s="6" t="s">
        <v>189</v>
      </c>
      <c r="E80" s="17">
        <v>4</v>
      </c>
      <c r="F80" s="15">
        <v>4</v>
      </c>
      <c r="G80" s="15">
        <v>42</v>
      </c>
      <c r="H80" s="15">
        <v>5</v>
      </c>
    </row>
    <row r="81" spans="2:8">
      <c r="B81" s="8">
        <v>944369</v>
      </c>
      <c r="C81" s="8" t="s">
        <v>190</v>
      </c>
      <c r="D81" s="8" t="s">
        <v>191</v>
      </c>
      <c r="E81" s="17">
        <v>4</v>
      </c>
      <c r="F81" s="16">
        <v>4</v>
      </c>
      <c r="G81" s="16">
        <v>42</v>
      </c>
      <c r="H81" s="16">
        <v>5</v>
      </c>
    </row>
    <row r="82" spans="2:8">
      <c r="B82" s="6">
        <v>944377</v>
      </c>
      <c r="C82" s="6" t="s">
        <v>192</v>
      </c>
      <c r="D82" s="6" t="s">
        <v>193</v>
      </c>
      <c r="E82" s="17">
        <v>4</v>
      </c>
      <c r="F82" s="15">
        <v>4</v>
      </c>
      <c r="G82" s="15">
        <v>35</v>
      </c>
      <c r="H82" s="15">
        <v>5</v>
      </c>
    </row>
    <row r="83" spans="2:8">
      <c r="B83" s="8">
        <v>944378</v>
      </c>
      <c r="C83" s="8" t="s">
        <v>194</v>
      </c>
      <c r="D83" s="8" t="s">
        <v>195</v>
      </c>
      <c r="E83" s="17">
        <v>4</v>
      </c>
      <c r="F83" s="16">
        <v>4</v>
      </c>
      <c r="G83" s="16">
        <v>41</v>
      </c>
      <c r="H83" s="16">
        <v>5</v>
      </c>
    </row>
    <row r="84" spans="2:8">
      <c r="B84" s="6">
        <v>944381</v>
      </c>
      <c r="C84" s="6" t="s">
        <v>196</v>
      </c>
      <c r="D84" s="6" t="s">
        <v>193</v>
      </c>
      <c r="E84" s="17">
        <v>4</v>
      </c>
      <c r="F84" s="15">
        <v>4</v>
      </c>
      <c r="G84" s="15">
        <v>35</v>
      </c>
      <c r="H84" s="15">
        <v>5</v>
      </c>
    </row>
    <row r="85" spans="2:8">
      <c r="B85" s="8">
        <v>944469</v>
      </c>
      <c r="C85" s="8" t="s">
        <v>197</v>
      </c>
      <c r="D85" s="8" t="s">
        <v>198</v>
      </c>
      <c r="E85" s="17">
        <v>4</v>
      </c>
      <c r="F85" s="16">
        <v>4</v>
      </c>
      <c r="G85" s="16">
        <v>42</v>
      </c>
      <c r="H85" s="16">
        <v>5</v>
      </c>
    </row>
    <row r="86" spans="2:8">
      <c r="B86" s="6">
        <v>944561</v>
      </c>
      <c r="C86" s="6" t="s">
        <v>199</v>
      </c>
      <c r="D86" s="6" t="s">
        <v>200</v>
      </c>
      <c r="E86" s="17">
        <v>4</v>
      </c>
      <c r="F86" s="15">
        <v>4</v>
      </c>
      <c r="G86" s="15">
        <v>35</v>
      </c>
      <c r="H86" s="15">
        <v>5</v>
      </c>
    </row>
    <row r="87" spans="2:8">
      <c r="B87" s="8">
        <v>944581</v>
      </c>
      <c r="C87" s="8" t="s">
        <v>201</v>
      </c>
      <c r="D87" s="8" t="s">
        <v>202</v>
      </c>
      <c r="E87" s="17">
        <v>4</v>
      </c>
      <c r="F87" s="16">
        <v>4</v>
      </c>
      <c r="G87" s="16">
        <v>35</v>
      </c>
      <c r="H87" s="16">
        <v>5</v>
      </c>
    </row>
    <row r="88" spans="2:8">
      <c r="B88" s="6">
        <v>944582</v>
      </c>
      <c r="C88" s="6" t="s">
        <v>203</v>
      </c>
      <c r="D88" s="6" t="s">
        <v>204</v>
      </c>
      <c r="E88" s="17">
        <v>4</v>
      </c>
      <c r="F88" s="15">
        <v>4</v>
      </c>
      <c r="G88" s="15">
        <v>35</v>
      </c>
      <c r="H88" s="15">
        <v>5</v>
      </c>
    </row>
    <row r="89" spans="2:8">
      <c r="B89" s="8">
        <v>944634</v>
      </c>
      <c r="C89" s="8" t="s">
        <v>205</v>
      </c>
      <c r="D89" s="8" t="s">
        <v>206</v>
      </c>
      <c r="E89" s="17">
        <v>4</v>
      </c>
      <c r="F89" s="16">
        <v>4</v>
      </c>
      <c r="G89" s="16">
        <v>35</v>
      </c>
      <c r="H89" s="16">
        <v>5</v>
      </c>
    </row>
    <row r="90" spans="2:8">
      <c r="B90" s="6">
        <v>944649</v>
      </c>
      <c r="C90" s="6" t="s">
        <v>207</v>
      </c>
      <c r="D90" s="6" t="s">
        <v>208</v>
      </c>
      <c r="E90" s="17">
        <v>4</v>
      </c>
      <c r="F90" s="15">
        <v>4</v>
      </c>
      <c r="G90" s="15">
        <v>35</v>
      </c>
      <c r="H90" s="15">
        <v>5</v>
      </c>
    </row>
    <row r="91" spans="2:8">
      <c r="B91" s="8">
        <v>944742</v>
      </c>
      <c r="C91" s="8" t="s">
        <v>209</v>
      </c>
      <c r="D91" s="8" t="s">
        <v>210</v>
      </c>
      <c r="E91" s="17">
        <v>4</v>
      </c>
      <c r="F91" s="16">
        <v>4</v>
      </c>
      <c r="G91" s="16">
        <v>35</v>
      </c>
      <c r="H91" s="16">
        <v>5</v>
      </c>
    </row>
    <row r="92" spans="2:8">
      <c r="B92" s="6">
        <v>944807</v>
      </c>
      <c r="C92" s="6" t="s">
        <v>211</v>
      </c>
      <c r="D92" s="6" t="s">
        <v>212</v>
      </c>
      <c r="E92" s="17">
        <v>4</v>
      </c>
      <c r="F92" s="15">
        <v>4</v>
      </c>
      <c r="G92" s="15">
        <v>35</v>
      </c>
      <c r="H92" s="15">
        <v>5</v>
      </c>
    </row>
    <row r="93" spans="2:8">
      <c r="B93" s="8">
        <v>944809</v>
      </c>
      <c r="C93" s="8" t="s">
        <v>213</v>
      </c>
      <c r="D93" s="8" t="s">
        <v>212</v>
      </c>
      <c r="E93" s="17">
        <v>4</v>
      </c>
      <c r="F93" s="16">
        <v>4</v>
      </c>
      <c r="G93" s="16">
        <v>35</v>
      </c>
      <c r="H93" s="16">
        <v>5</v>
      </c>
    </row>
    <row r="94" spans="2:8">
      <c r="B94" s="6">
        <v>944854</v>
      </c>
      <c r="C94" s="6" t="s">
        <v>214</v>
      </c>
      <c r="D94" s="6" t="s">
        <v>215</v>
      </c>
      <c r="E94" s="17">
        <v>4</v>
      </c>
      <c r="F94" s="15">
        <v>4</v>
      </c>
      <c r="G94" s="15">
        <v>95</v>
      </c>
      <c r="H94" s="15">
        <v>5</v>
      </c>
    </row>
    <row r="95" spans="2:8">
      <c r="B95" s="8">
        <v>945024</v>
      </c>
      <c r="C95" s="8" t="s">
        <v>216</v>
      </c>
      <c r="D95" s="8" t="s">
        <v>217</v>
      </c>
      <c r="E95" s="17">
        <v>4</v>
      </c>
      <c r="F95" s="16">
        <v>4</v>
      </c>
      <c r="G95" s="16">
        <v>35</v>
      </c>
      <c r="H95" s="16">
        <v>5</v>
      </c>
    </row>
    <row r="96" spans="2:8">
      <c r="B96" s="6">
        <v>945133</v>
      </c>
      <c r="C96" s="6" t="s">
        <v>218</v>
      </c>
      <c r="D96" s="6" t="s">
        <v>219</v>
      </c>
      <c r="E96" s="17">
        <v>4</v>
      </c>
      <c r="F96" s="15">
        <v>4</v>
      </c>
      <c r="G96" s="15">
        <v>35</v>
      </c>
      <c r="H96" s="15">
        <v>2</v>
      </c>
    </row>
    <row r="97" spans="2:8">
      <c r="B97" s="8">
        <v>944354</v>
      </c>
      <c r="C97" s="8" t="s">
        <v>220</v>
      </c>
      <c r="D97" s="8" t="s">
        <v>221</v>
      </c>
      <c r="E97" s="18">
        <v>3</v>
      </c>
      <c r="F97" s="16">
        <v>3</v>
      </c>
      <c r="G97" s="16">
        <v>30</v>
      </c>
      <c r="H97" s="16">
        <v>17</v>
      </c>
    </row>
    <row r="98" spans="2:8">
      <c r="B98" s="6">
        <v>944363</v>
      </c>
      <c r="C98" s="6" t="s">
        <v>222</v>
      </c>
      <c r="D98" s="6" t="s">
        <v>223</v>
      </c>
      <c r="E98" s="18">
        <v>3</v>
      </c>
      <c r="F98" s="15">
        <v>3</v>
      </c>
      <c r="G98" s="15">
        <v>42</v>
      </c>
      <c r="H98" s="15">
        <v>17</v>
      </c>
    </row>
    <row r="99" spans="2:8">
      <c r="B99" s="8">
        <v>944625</v>
      </c>
      <c r="C99" s="8" t="s">
        <v>224</v>
      </c>
      <c r="D99" s="8" t="s">
        <v>225</v>
      </c>
      <c r="E99" s="18">
        <v>3</v>
      </c>
      <c r="F99" s="16">
        <v>3</v>
      </c>
      <c r="G99" s="16">
        <v>30</v>
      </c>
      <c r="H99" s="16">
        <v>17</v>
      </c>
    </row>
    <row r="100" spans="2:8">
      <c r="B100" s="6">
        <v>944632</v>
      </c>
      <c r="C100" s="6" t="s">
        <v>226</v>
      </c>
      <c r="D100" s="6" t="s">
        <v>227</v>
      </c>
      <c r="E100" s="18">
        <v>3</v>
      </c>
      <c r="F100" s="15">
        <v>3</v>
      </c>
      <c r="G100" s="15">
        <v>30</v>
      </c>
      <c r="H100" s="15">
        <v>17</v>
      </c>
    </row>
    <row r="101" spans="2:8">
      <c r="B101" s="8">
        <v>944988</v>
      </c>
      <c r="C101" s="8" t="s">
        <v>228</v>
      </c>
      <c r="D101" s="8" t="s">
        <v>229</v>
      </c>
      <c r="E101" s="18">
        <v>3</v>
      </c>
      <c r="F101" s="16">
        <v>3</v>
      </c>
      <c r="G101" s="16">
        <v>30</v>
      </c>
      <c r="H101" s="16">
        <v>17</v>
      </c>
    </row>
    <row r="102" spans="2:8">
      <c r="B102" s="6">
        <v>945006</v>
      </c>
      <c r="C102" s="6" t="s">
        <v>230</v>
      </c>
      <c r="D102" s="6" t="s">
        <v>231</v>
      </c>
      <c r="E102" s="18">
        <v>3</v>
      </c>
      <c r="F102" s="15">
        <v>3</v>
      </c>
      <c r="G102" s="15">
        <v>30</v>
      </c>
      <c r="H102" s="15">
        <v>17</v>
      </c>
    </row>
    <row r="103" spans="2:8">
      <c r="B103" s="8">
        <v>945043</v>
      </c>
      <c r="C103" s="8" t="s">
        <v>232</v>
      </c>
      <c r="D103" s="8" t="s">
        <v>233</v>
      </c>
      <c r="E103" s="18">
        <v>3</v>
      </c>
      <c r="F103" s="16">
        <v>3</v>
      </c>
      <c r="G103" s="16">
        <v>42</v>
      </c>
      <c r="H103" s="16">
        <v>17</v>
      </c>
    </row>
    <row r="104" spans="2:8">
      <c r="B104" s="6">
        <v>945071</v>
      </c>
      <c r="C104" s="6" t="s">
        <v>234</v>
      </c>
      <c r="D104" s="6" t="s">
        <v>235</v>
      </c>
      <c r="E104" s="18">
        <v>3</v>
      </c>
      <c r="F104" s="15">
        <v>3</v>
      </c>
      <c r="G104" s="15">
        <v>37</v>
      </c>
      <c r="H104" s="15">
        <v>17</v>
      </c>
    </row>
    <row r="105" spans="2:8">
      <c r="B105" s="8">
        <v>945162</v>
      </c>
      <c r="C105" s="8" t="s">
        <v>236</v>
      </c>
      <c r="D105" s="8" t="s">
        <v>237</v>
      </c>
      <c r="E105" s="18">
        <v>3</v>
      </c>
      <c r="F105" s="16">
        <v>3</v>
      </c>
      <c r="G105" s="16">
        <v>30</v>
      </c>
      <c r="H105" s="16">
        <v>17</v>
      </c>
    </row>
    <row r="106" spans="2:8">
      <c r="B106" s="6">
        <v>945220</v>
      </c>
      <c r="C106" s="6" t="s">
        <v>238</v>
      </c>
      <c r="D106" s="6" t="s">
        <v>239</v>
      </c>
      <c r="E106" s="18">
        <v>3</v>
      </c>
      <c r="F106" s="15">
        <v>3</v>
      </c>
      <c r="G106" s="15">
        <v>30</v>
      </c>
      <c r="H106" s="15">
        <v>17</v>
      </c>
    </row>
    <row r="107" spans="2:8">
      <c r="B107" s="8">
        <v>945221</v>
      </c>
      <c r="C107" s="8" t="s">
        <v>240</v>
      </c>
      <c r="D107" s="8" t="s">
        <v>241</v>
      </c>
      <c r="E107" s="18">
        <v>3</v>
      </c>
      <c r="F107" s="16">
        <v>3</v>
      </c>
      <c r="G107" s="16">
        <v>37</v>
      </c>
      <c r="H107" s="16">
        <v>17</v>
      </c>
    </row>
    <row r="108" spans="2:8">
      <c r="B108" s="6">
        <v>945045</v>
      </c>
      <c r="C108" s="6" t="s">
        <v>242</v>
      </c>
      <c r="D108" s="6" t="s">
        <v>243</v>
      </c>
      <c r="E108" s="18">
        <v>3</v>
      </c>
      <c r="F108" s="15">
        <v>3</v>
      </c>
      <c r="G108" s="15">
        <v>30</v>
      </c>
      <c r="H108" s="15">
        <v>5</v>
      </c>
    </row>
    <row r="109" spans="2:8">
      <c r="B109" s="8">
        <v>944340</v>
      </c>
      <c r="C109" s="8" t="s">
        <v>244</v>
      </c>
      <c r="D109" s="8" t="s">
        <v>245</v>
      </c>
      <c r="E109" s="19">
        <v>2</v>
      </c>
      <c r="F109" s="16">
        <v>2</v>
      </c>
      <c r="G109" s="16">
        <v>20</v>
      </c>
      <c r="H109" s="16">
        <v>17</v>
      </c>
    </row>
    <row r="110" spans="2:8">
      <c r="B110" s="6">
        <v>944355</v>
      </c>
      <c r="C110" s="6" t="s">
        <v>246</v>
      </c>
      <c r="D110" s="6" t="s">
        <v>247</v>
      </c>
      <c r="E110" s="19">
        <v>2</v>
      </c>
      <c r="F110" s="15">
        <v>2</v>
      </c>
      <c r="G110" s="15">
        <v>65</v>
      </c>
      <c r="H110" s="15">
        <v>17</v>
      </c>
    </row>
    <row r="111" spans="2:8">
      <c r="B111" s="8">
        <v>944635</v>
      </c>
      <c r="C111" s="8" t="s">
        <v>248</v>
      </c>
      <c r="D111" s="8" t="s">
        <v>249</v>
      </c>
      <c r="E111" s="19">
        <v>2</v>
      </c>
      <c r="F111" s="16">
        <v>2</v>
      </c>
      <c r="G111" s="16">
        <v>30</v>
      </c>
      <c r="H111" s="16">
        <v>17</v>
      </c>
    </row>
    <row r="112" spans="2:8">
      <c r="B112" s="6">
        <v>944822</v>
      </c>
      <c r="C112" s="6" t="s">
        <v>250</v>
      </c>
      <c r="D112" s="6" t="s">
        <v>251</v>
      </c>
      <c r="E112" s="19">
        <v>2</v>
      </c>
      <c r="F112" s="15">
        <v>2</v>
      </c>
      <c r="G112" s="15">
        <v>20</v>
      </c>
      <c r="H112" s="15">
        <v>17</v>
      </c>
    </row>
    <row r="113" spans="2:8">
      <c r="B113" s="8">
        <v>944989</v>
      </c>
      <c r="C113" s="8" t="s">
        <v>252</v>
      </c>
      <c r="D113" s="8" t="s">
        <v>253</v>
      </c>
      <c r="E113" s="19">
        <v>2</v>
      </c>
      <c r="F113" s="16">
        <v>2</v>
      </c>
      <c r="G113" s="16">
        <v>30</v>
      </c>
      <c r="H113" s="16">
        <v>17</v>
      </c>
    </row>
    <row r="114" spans="2:8">
      <c r="B114" s="6">
        <v>944344</v>
      </c>
      <c r="C114" s="6" t="s">
        <v>254</v>
      </c>
      <c r="D114" s="6" t="s">
        <v>255</v>
      </c>
      <c r="E114" s="19">
        <v>2</v>
      </c>
      <c r="F114" s="15">
        <v>2</v>
      </c>
      <c r="G114" s="15">
        <v>30</v>
      </c>
      <c r="H114" s="15"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16"/>
  <sheetViews>
    <sheetView showGridLines="0" tabSelected="1" zoomScaleNormal="100" workbookViewId="0">
      <pane xSplit="1" ySplit="5" topLeftCell="B6" activePane="bottomRight" state="frozen"/>
      <selection pane="bottomRight"/>
      <selection pane="bottomLeft" activeCell="A6" sqref="A6"/>
      <selection pane="topRight" activeCell="B1" sqref="B1"/>
    </sheetView>
  </sheetViews>
  <sheetFormatPr defaultColWidth="8.7109375" defaultRowHeight="15"/>
  <cols>
    <col min="1" max="1" width="3" customWidth="1"/>
    <col min="2" max="2" width="8" customWidth="1"/>
    <col min="3" max="3" width="86.42578125" customWidth="1"/>
    <col min="4" max="4" width="30" customWidth="1"/>
    <col min="5" max="5" width="10" customWidth="1"/>
    <col min="6" max="6" width="12" customWidth="1"/>
    <col min="7" max="7" width="8" customWidth="1"/>
    <col min="8" max="8" width="14" customWidth="1"/>
  </cols>
  <sheetData>
    <row r="2" spans="2:8" ht="17.45">
      <c r="B2" s="1" t="s">
        <v>9</v>
      </c>
    </row>
    <row r="3" spans="2:8">
      <c r="B3" s="2" t="s">
        <v>256</v>
      </c>
    </row>
    <row r="5" spans="2:8" ht="26.85">
      <c r="B5" s="5" t="s">
        <v>33</v>
      </c>
      <c r="C5" s="5" t="s">
        <v>34</v>
      </c>
      <c r="D5" s="5" t="s">
        <v>35</v>
      </c>
      <c r="E5" s="5" t="s">
        <v>36</v>
      </c>
      <c r="F5" s="5" t="s">
        <v>37</v>
      </c>
      <c r="G5" s="5" t="s">
        <v>38</v>
      </c>
      <c r="H5" s="5" t="s">
        <v>39</v>
      </c>
    </row>
    <row r="6" spans="2:8">
      <c r="B6" s="6">
        <v>164538</v>
      </c>
      <c r="C6" s="6" t="s">
        <v>257</v>
      </c>
      <c r="D6" s="6" t="s">
        <v>258</v>
      </c>
      <c r="E6" s="14">
        <v>5</v>
      </c>
      <c r="F6" s="15">
        <v>5</v>
      </c>
      <c r="G6" s="15">
        <v>65</v>
      </c>
      <c r="H6" s="15">
        <v>8</v>
      </c>
    </row>
    <row r="7" spans="2:8">
      <c r="B7" s="8">
        <v>164540</v>
      </c>
      <c r="C7" s="8" t="s">
        <v>259</v>
      </c>
      <c r="D7" s="8" t="s">
        <v>260</v>
      </c>
      <c r="E7" s="14">
        <v>5</v>
      </c>
      <c r="F7" s="16">
        <v>5</v>
      </c>
      <c r="G7" s="16">
        <v>95</v>
      </c>
      <c r="H7" s="16">
        <v>8</v>
      </c>
    </row>
    <row r="8" spans="2:8">
      <c r="B8" s="6">
        <v>164544</v>
      </c>
      <c r="C8" s="6" t="s">
        <v>261</v>
      </c>
      <c r="D8" s="6" t="s">
        <v>262</v>
      </c>
      <c r="E8" s="14">
        <v>5</v>
      </c>
      <c r="F8" s="15">
        <v>5</v>
      </c>
      <c r="G8" s="15">
        <v>95</v>
      </c>
      <c r="H8" s="15">
        <v>8</v>
      </c>
    </row>
    <row r="9" spans="2:8">
      <c r="B9" s="8">
        <v>164554</v>
      </c>
      <c r="C9" s="8" t="s">
        <v>263</v>
      </c>
      <c r="D9" s="8" t="s">
        <v>264</v>
      </c>
      <c r="E9" s="14">
        <v>5</v>
      </c>
      <c r="F9" s="16">
        <v>5</v>
      </c>
      <c r="G9" s="16">
        <v>65</v>
      </c>
      <c r="H9" s="16">
        <v>8</v>
      </c>
    </row>
    <row r="10" spans="2:8">
      <c r="B10" s="6">
        <v>164576</v>
      </c>
      <c r="C10" s="6" t="s">
        <v>265</v>
      </c>
      <c r="D10" s="6" t="s">
        <v>266</v>
      </c>
      <c r="E10" s="14">
        <v>5</v>
      </c>
      <c r="F10" s="15">
        <v>5</v>
      </c>
      <c r="G10" s="15">
        <v>65</v>
      </c>
      <c r="H10" s="15">
        <v>8</v>
      </c>
    </row>
    <row r="11" spans="2:8">
      <c r="B11" s="8">
        <v>164812</v>
      </c>
      <c r="C11" s="8" t="s">
        <v>267</v>
      </c>
      <c r="D11" s="8" t="s">
        <v>268</v>
      </c>
      <c r="E11" s="14">
        <v>5</v>
      </c>
      <c r="F11" s="16">
        <v>5</v>
      </c>
      <c r="G11" s="16">
        <v>95</v>
      </c>
      <c r="H11" s="16">
        <v>8</v>
      </c>
    </row>
    <row r="12" spans="2:8">
      <c r="B12" s="6">
        <v>164875</v>
      </c>
      <c r="C12" s="6" t="s">
        <v>269</v>
      </c>
      <c r="D12" s="6" t="s">
        <v>57</v>
      </c>
      <c r="E12" s="14">
        <v>5</v>
      </c>
      <c r="F12" s="15">
        <v>5</v>
      </c>
      <c r="G12" s="15">
        <v>72</v>
      </c>
      <c r="H12" s="15">
        <v>8</v>
      </c>
    </row>
    <row r="13" spans="2:8">
      <c r="B13" s="8">
        <v>6600056</v>
      </c>
      <c r="C13" s="8" t="s">
        <v>270</v>
      </c>
      <c r="D13" s="8" t="s">
        <v>65</v>
      </c>
      <c r="E13" s="14">
        <v>5</v>
      </c>
      <c r="F13" s="16">
        <v>5</v>
      </c>
      <c r="G13" s="16">
        <v>72</v>
      </c>
      <c r="H13" s="16">
        <v>8</v>
      </c>
    </row>
    <row r="14" spans="2:8">
      <c r="B14" s="6">
        <v>163769</v>
      </c>
      <c r="C14" s="6" t="s">
        <v>271</v>
      </c>
      <c r="D14" s="6" t="s">
        <v>272</v>
      </c>
      <c r="E14" s="14">
        <v>5</v>
      </c>
      <c r="F14" s="15">
        <v>5</v>
      </c>
      <c r="G14" s="15">
        <v>42</v>
      </c>
      <c r="H14" s="15">
        <v>7</v>
      </c>
    </row>
    <row r="15" spans="2:8">
      <c r="B15" s="8">
        <v>164316</v>
      </c>
      <c r="C15" s="8" t="s">
        <v>273</v>
      </c>
      <c r="D15" s="8" t="s">
        <v>274</v>
      </c>
      <c r="E15" s="14">
        <v>5</v>
      </c>
      <c r="F15" s="16">
        <v>5</v>
      </c>
      <c r="G15" s="16">
        <v>35</v>
      </c>
      <c r="H15" s="16">
        <v>7</v>
      </c>
    </row>
    <row r="16" spans="2:8">
      <c r="B16" s="6">
        <v>164467</v>
      </c>
      <c r="C16" s="6" t="s">
        <v>275</v>
      </c>
      <c r="D16" s="6" t="s">
        <v>41</v>
      </c>
      <c r="E16" s="14">
        <v>5</v>
      </c>
      <c r="F16" s="15">
        <v>5</v>
      </c>
      <c r="G16" s="15">
        <v>65</v>
      </c>
      <c r="H16" s="15">
        <v>7</v>
      </c>
    </row>
    <row r="17" spans="2:8">
      <c r="B17" s="8">
        <v>164492</v>
      </c>
      <c r="C17" s="8" t="s">
        <v>276</v>
      </c>
      <c r="D17" s="8" t="s">
        <v>277</v>
      </c>
      <c r="E17" s="14">
        <v>5</v>
      </c>
      <c r="F17" s="16">
        <v>5</v>
      </c>
      <c r="G17" s="16">
        <v>65</v>
      </c>
      <c r="H17" s="16">
        <v>7</v>
      </c>
    </row>
    <row r="18" spans="2:8">
      <c r="B18" s="6">
        <v>164510</v>
      </c>
      <c r="C18" s="6" t="s">
        <v>278</v>
      </c>
      <c r="D18" s="6" t="s">
        <v>279</v>
      </c>
      <c r="E18" s="17">
        <v>4</v>
      </c>
      <c r="F18" s="15">
        <v>4</v>
      </c>
      <c r="G18" s="15">
        <v>75</v>
      </c>
      <c r="H18" s="15">
        <v>8</v>
      </c>
    </row>
    <row r="19" spans="2:8">
      <c r="B19" s="8">
        <v>164516</v>
      </c>
      <c r="C19" s="8" t="s">
        <v>280</v>
      </c>
      <c r="D19" s="8" t="s">
        <v>281</v>
      </c>
      <c r="E19" s="17">
        <v>4</v>
      </c>
      <c r="F19" s="16">
        <v>4</v>
      </c>
      <c r="G19" s="16">
        <v>95</v>
      </c>
      <c r="H19" s="16">
        <v>8</v>
      </c>
    </row>
    <row r="20" spans="2:8">
      <c r="B20" s="6">
        <v>164523</v>
      </c>
      <c r="C20" s="6" t="s">
        <v>282</v>
      </c>
      <c r="D20" s="6" t="s">
        <v>283</v>
      </c>
      <c r="E20" s="17">
        <v>4</v>
      </c>
      <c r="F20" s="15">
        <v>4</v>
      </c>
      <c r="G20" s="15">
        <v>42</v>
      </c>
      <c r="H20" s="15">
        <v>8</v>
      </c>
    </row>
    <row r="21" spans="2:8">
      <c r="B21" s="8">
        <v>164543</v>
      </c>
      <c r="C21" s="8" t="s">
        <v>284</v>
      </c>
      <c r="D21" s="8" t="s">
        <v>115</v>
      </c>
      <c r="E21" s="17">
        <v>4</v>
      </c>
      <c r="F21" s="16">
        <v>4</v>
      </c>
      <c r="G21" s="16">
        <v>42</v>
      </c>
      <c r="H21" s="16">
        <v>8</v>
      </c>
    </row>
    <row r="22" spans="2:8">
      <c r="B22" s="6">
        <v>164547</v>
      </c>
      <c r="C22" s="6" t="s">
        <v>285</v>
      </c>
      <c r="D22" s="6" t="s">
        <v>111</v>
      </c>
      <c r="E22" s="17">
        <v>4</v>
      </c>
      <c r="F22" s="15">
        <v>4</v>
      </c>
      <c r="G22" s="15">
        <v>35</v>
      </c>
      <c r="H22" s="15">
        <v>8</v>
      </c>
    </row>
    <row r="23" spans="2:8">
      <c r="B23" s="8">
        <v>164551</v>
      </c>
      <c r="C23" s="8" t="s">
        <v>286</v>
      </c>
      <c r="D23" s="8" t="s">
        <v>287</v>
      </c>
      <c r="E23" s="17">
        <v>4</v>
      </c>
      <c r="F23" s="16">
        <v>4</v>
      </c>
      <c r="G23" s="16">
        <v>35</v>
      </c>
      <c r="H23" s="16">
        <v>8</v>
      </c>
    </row>
    <row r="24" spans="2:8">
      <c r="B24" s="6">
        <v>164552</v>
      </c>
      <c r="C24" s="6" t="s">
        <v>288</v>
      </c>
      <c r="D24" s="6" t="s">
        <v>117</v>
      </c>
      <c r="E24" s="17">
        <v>4</v>
      </c>
      <c r="F24" s="15">
        <v>4</v>
      </c>
      <c r="G24" s="15">
        <v>35</v>
      </c>
      <c r="H24" s="15">
        <v>8</v>
      </c>
    </row>
    <row r="25" spans="2:8">
      <c r="B25" s="8">
        <v>164570</v>
      </c>
      <c r="C25" s="8" t="s">
        <v>289</v>
      </c>
      <c r="D25" s="8" t="s">
        <v>125</v>
      </c>
      <c r="E25" s="17">
        <v>4</v>
      </c>
      <c r="F25" s="16">
        <v>4</v>
      </c>
      <c r="G25" s="16">
        <v>42</v>
      </c>
      <c r="H25" s="16">
        <v>8</v>
      </c>
    </row>
    <row r="26" spans="2:8">
      <c r="B26" s="6">
        <v>164577</v>
      </c>
      <c r="C26" s="6" t="s">
        <v>290</v>
      </c>
      <c r="D26" s="6" t="s">
        <v>291</v>
      </c>
      <c r="E26" s="17">
        <v>4</v>
      </c>
      <c r="F26" s="15">
        <v>4</v>
      </c>
      <c r="G26" s="15">
        <v>35</v>
      </c>
      <c r="H26" s="15">
        <v>8</v>
      </c>
    </row>
    <row r="27" spans="2:8">
      <c r="B27" s="8">
        <v>164584</v>
      </c>
      <c r="C27" s="8" t="s">
        <v>292</v>
      </c>
      <c r="D27" s="8" t="s">
        <v>121</v>
      </c>
      <c r="E27" s="17">
        <v>4</v>
      </c>
      <c r="F27" s="16">
        <v>4</v>
      </c>
      <c r="G27" s="16">
        <v>35</v>
      </c>
      <c r="H27" s="16">
        <v>8</v>
      </c>
    </row>
    <row r="28" spans="2:8">
      <c r="B28" s="6">
        <v>164695</v>
      </c>
      <c r="C28" s="6" t="s">
        <v>293</v>
      </c>
      <c r="D28" s="6" t="s">
        <v>294</v>
      </c>
      <c r="E28" s="17">
        <v>4</v>
      </c>
      <c r="F28" s="15">
        <v>4</v>
      </c>
      <c r="G28" s="15">
        <v>42</v>
      </c>
      <c r="H28" s="15">
        <v>8</v>
      </c>
    </row>
    <row r="29" spans="2:8">
      <c r="B29" s="8">
        <v>164767</v>
      </c>
      <c r="C29" s="8" t="s">
        <v>295</v>
      </c>
      <c r="D29" s="8" t="s">
        <v>296</v>
      </c>
      <c r="E29" s="17">
        <v>4</v>
      </c>
      <c r="F29" s="16">
        <v>4</v>
      </c>
      <c r="G29" s="16">
        <v>42</v>
      </c>
      <c r="H29" s="16">
        <v>8</v>
      </c>
    </row>
    <row r="30" spans="2:8">
      <c r="B30" s="6">
        <v>164833</v>
      </c>
      <c r="C30" s="6" t="s">
        <v>297</v>
      </c>
      <c r="D30" s="6" t="s">
        <v>298</v>
      </c>
      <c r="E30" s="17">
        <v>4</v>
      </c>
      <c r="F30" s="15">
        <v>4</v>
      </c>
      <c r="G30" s="15">
        <v>95</v>
      </c>
      <c r="H30" s="15">
        <v>8</v>
      </c>
    </row>
    <row r="31" spans="2:8">
      <c r="B31" s="8">
        <v>164847</v>
      </c>
      <c r="C31" s="8" t="s">
        <v>299</v>
      </c>
      <c r="D31" s="8" t="s">
        <v>137</v>
      </c>
      <c r="E31" s="17">
        <v>4</v>
      </c>
      <c r="F31" s="16">
        <v>4</v>
      </c>
      <c r="G31" s="16">
        <v>42</v>
      </c>
      <c r="H31" s="16">
        <v>8</v>
      </c>
    </row>
    <row r="32" spans="2:8">
      <c r="B32" s="6">
        <v>164851</v>
      </c>
      <c r="C32" s="6" t="s">
        <v>300</v>
      </c>
      <c r="D32" s="6" t="s">
        <v>123</v>
      </c>
      <c r="E32" s="17">
        <v>4</v>
      </c>
      <c r="F32" s="15">
        <v>4</v>
      </c>
      <c r="G32" s="15">
        <v>35</v>
      </c>
      <c r="H32" s="15">
        <v>8</v>
      </c>
    </row>
    <row r="33" spans="2:8">
      <c r="B33" s="8">
        <v>164858</v>
      </c>
      <c r="C33" s="8" t="s">
        <v>301</v>
      </c>
      <c r="D33" s="8" t="s">
        <v>302</v>
      </c>
      <c r="E33" s="17">
        <v>4</v>
      </c>
      <c r="F33" s="16">
        <v>4</v>
      </c>
      <c r="G33" s="16">
        <v>40</v>
      </c>
      <c r="H33" s="16">
        <v>8</v>
      </c>
    </row>
    <row r="34" spans="2:8">
      <c r="B34" s="6">
        <v>164863</v>
      </c>
      <c r="C34" s="6" t="s">
        <v>303</v>
      </c>
      <c r="D34" s="6" t="s">
        <v>304</v>
      </c>
      <c r="E34" s="17">
        <v>4</v>
      </c>
      <c r="F34" s="15">
        <v>4</v>
      </c>
      <c r="G34" s="15">
        <v>30</v>
      </c>
      <c r="H34" s="15">
        <v>8</v>
      </c>
    </row>
    <row r="35" spans="2:8">
      <c r="B35" s="8">
        <v>164873</v>
      </c>
      <c r="C35" s="8" t="s">
        <v>305</v>
      </c>
      <c r="D35" s="8" t="s">
        <v>163</v>
      </c>
      <c r="E35" s="17">
        <v>4</v>
      </c>
      <c r="F35" s="16">
        <v>4</v>
      </c>
      <c r="G35" s="16">
        <v>35</v>
      </c>
      <c r="H35" s="16">
        <v>8</v>
      </c>
    </row>
    <row r="36" spans="2:8">
      <c r="B36" s="6">
        <v>164880</v>
      </c>
      <c r="C36" s="6" t="s">
        <v>306</v>
      </c>
      <c r="D36" s="6" t="s">
        <v>109</v>
      </c>
      <c r="E36" s="17">
        <v>4</v>
      </c>
      <c r="F36" s="15">
        <v>4</v>
      </c>
      <c r="G36" s="15">
        <v>35</v>
      </c>
      <c r="H36" s="15">
        <v>8</v>
      </c>
    </row>
    <row r="37" spans="2:8">
      <c r="B37" s="8">
        <v>164983</v>
      </c>
      <c r="C37" s="8" t="s">
        <v>307</v>
      </c>
      <c r="D37" s="8" t="s">
        <v>139</v>
      </c>
      <c r="E37" s="17">
        <v>4</v>
      </c>
      <c r="F37" s="16">
        <v>4</v>
      </c>
      <c r="G37" s="16">
        <v>35</v>
      </c>
      <c r="H37" s="16">
        <v>8</v>
      </c>
    </row>
    <row r="38" spans="2:8">
      <c r="B38" s="6">
        <v>6600166</v>
      </c>
      <c r="C38" s="6" t="s">
        <v>308</v>
      </c>
      <c r="D38" s="6" t="s">
        <v>141</v>
      </c>
      <c r="E38" s="17">
        <v>4</v>
      </c>
      <c r="F38" s="15">
        <v>4</v>
      </c>
      <c r="G38" s="15">
        <v>35</v>
      </c>
      <c r="H38" s="15">
        <v>8</v>
      </c>
    </row>
    <row r="39" spans="2:8">
      <c r="B39" s="8">
        <v>6600175</v>
      </c>
      <c r="C39" s="8" t="s">
        <v>309</v>
      </c>
      <c r="D39" s="8" t="s">
        <v>143</v>
      </c>
      <c r="E39" s="17">
        <v>4</v>
      </c>
      <c r="F39" s="16">
        <v>4</v>
      </c>
      <c r="G39" s="16">
        <v>42</v>
      </c>
      <c r="H39" s="16">
        <v>8</v>
      </c>
    </row>
    <row r="40" spans="2:8">
      <c r="B40" s="6">
        <v>6600195</v>
      </c>
      <c r="C40" s="6" t="s">
        <v>310</v>
      </c>
      <c r="D40" s="6" t="s">
        <v>147</v>
      </c>
      <c r="E40" s="17">
        <v>4</v>
      </c>
      <c r="F40" s="15">
        <v>4</v>
      </c>
      <c r="G40" s="15">
        <v>35</v>
      </c>
      <c r="H40" s="15">
        <v>8</v>
      </c>
    </row>
    <row r="41" spans="2:8">
      <c r="B41" s="8">
        <v>6600201</v>
      </c>
      <c r="C41" s="8" t="s">
        <v>311</v>
      </c>
      <c r="D41" s="8" t="s">
        <v>312</v>
      </c>
      <c r="E41" s="17">
        <v>4</v>
      </c>
      <c r="F41" s="16">
        <v>4</v>
      </c>
      <c r="G41" s="16">
        <v>35</v>
      </c>
      <c r="H41" s="16">
        <v>8</v>
      </c>
    </row>
    <row r="42" spans="2:8">
      <c r="B42" s="6">
        <v>6600274</v>
      </c>
      <c r="C42" s="6" t="s">
        <v>313</v>
      </c>
      <c r="D42" s="6" t="s">
        <v>314</v>
      </c>
      <c r="E42" s="17">
        <v>4</v>
      </c>
      <c r="F42" s="15">
        <v>4</v>
      </c>
      <c r="G42" s="15">
        <v>42</v>
      </c>
      <c r="H42" s="15">
        <v>8</v>
      </c>
    </row>
    <row r="43" spans="2:8">
      <c r="B43" s="8">
        <v>6600301</v>
      </c>
      <c r="C43" s="8" t="s">
        <v>315</v>
      </c>
      <c r="D43" s="8" t="s">
        <v>314</v>
      </c>
      <c r="E43" s="17">
        <v>4</v>
      </c>
      <c r="F43" s="16">
        <v>4</v>
      </c>
      <c r="G43" s="16">
        <v>42</v>
      </c>
      <c r="H43" s="16">
        <v>8</v>
      </c>
    </row>
    <row r="44" spans="2:8">
      <c r="B44" s="6">
        <v>6600348</v>
      </c>
      <c r="C44" s="6" t="s">
        <v>316</v>
      </c>
      <c r="D44" s="6" t="s">
        <v>167</v>
      </c>
      <c r="E44" s="17">
        <v>4</v>
      </c>
      <c r="F44" s="15">
        <v>4</v>
      </c>
      <c r="G44" s="15">
        <v>35</v>
      </c>
      <c r="H44" s="15">
        <v>8</v>
      </c>
    </row>
    <row r="45" spans="2:8">
      <c r="B45" s="8">
        <v>6600360</v>
      </c>
      <c r="C45" s="8" t="s">
        <v>317</v>
      </c>
      <c r="D45" s="8" t="s">
        <v>318</v>
      </c>
      <c r="E45" s="17">
        <v>4</v>
      </c>
      <c r="F45" s="16">
        <v>4</v>
      </c>
      <c r="G45" s="16">
        <v>35</v>
      </c>
      <c r="H45" s="16">
        <v>8</v>
      </c>
    </row>
    <row r="46" spans="2:8">
      <c r="B46" s="6">
        <v>6600379</v>
      </c>
      <c r="C46" s="6" t="s">
        <v>319</v>
      </c>
      <c r="D46" s="6" t="s">
        <v>179</v>
      </c>
      <c r="E46" s="17">
        <v>4</v>
      </c>
      <c r="F46" s="15">
        <v>4</v>
      </c>
      <c r="G46" s="15">
        <v>35</v>
      </c>
      <c r="H46" s="15">
        <v>8</v>
      </c>
    </row>
    <row r="47" spans="2:8">
      <c r="B47" s="8">
        <v>6600392</v>
      </c>
      <c r="C47" s="8" t="s">
        <v>320</v>
      </c>
      <c r="D47" s="8" t="s">
        <v>321</v>
      </c>
      <c r="E47" s="17">
        <v>4</v>
      </c>
      <c r="F47" s="16">
        <v>4</v>
      </c>
      <c r="G47" s="16">
        <v>35</v>
      </c>
      <c r="H47" s="16">
        <v>8</v>
      </c>
    </row>
    <row r="48" spans="2:8">
      <c r="B48" s="6">
        <v>6600397</v>
      </c>
      <c r="C48" s="6" t="s">
        <v>322</v>
      </c>
      <c r="D48" s="6" t="s">
        <v>155</v>
      </c>
      <c r="E48" s="17">
        <v>4</v>
      </c>
      <c r="F48" s="15">
        <v>4</v>
      </c>
      <c r="G48" s="15">
        <v>35</v>
      </c>
      <c r="H48" s="15">
        <v>8</v>
      </c>
    </row>
    <row r="49" spans="2:8">
      <c r="B49" s="8">
        <v>6600412</v>
      </c>
      <c r="C49" s="8" t="s">
        <v>323</v>
      </c>
      <c r="D49" s="8" t="s">
        <v>324</v>
      </c>
      <c r="E49" s="17">
        <v>4</v>
      </c>
      <c r="F49" s="16">
        <v>4</v>
      </c>
      <c r="G49" s="16">
        <v>42</v>
      </c>
      <c r="H49" s="16">
        <v>8</v>
      </c>
    </row>
    <row r="50" spans="2:8">
      <c r="B50" s="6">
        <v>6600454</v>
      </c>
      <c r="C50" s="6" t="s">
        <v>325</v>
      </c>
      <c r="D50" s="6" t="s">
        <v>177</v>
      </c>
      <c r="E50" s="17">
        <v>4</v>
      </c>
      <c r="F50" s="15">
        <v>4</v>
      </c>
      <c r="G50" s="15">
        <v>35</v>
      </c>
      <c r="H50" s="15">
        <v>8</v>
      </c>
    </row>
    <row r="51" spans="2:8">
      <c r="B51" s="8">
        <v>6600465</v>
      </c>
      <c r="C51" s="8" t="s">
        <v>326</v>
      </c>
      <c r="D51" s="8" t="s">
        <v>327</v>
      </c>
      <c r="E51" s="17">
        <v>4</v>
      </c>
      <c r="F51" s="16">
        <v>4</v>
      </c>
      <c r="G51" s="16">
        <v>65</v>
      </c>
      <c r="H51" s="16">
        <v>8</v>
      </c>
    </row>
    <row r="52" spans="2:8">
      <c r="B52" s="6">
        <v>6600495</v>
      </c>
      <c r="C52" s="6" t="s">
        <v>328</v>
      </c>
      <c r="D52" s="6" t="s">
        <v>173</v>
      </c>
      <c r="E52" s="17">
        <v>4</v>
      </c>
      <c r="F52" s="15">
        <v>4</v>
      </c>
      <c r="G52" s="15">
        <v>42</v>
      </c>
      <c r="H52" s="15">
        <v>8</v>
      </c>
    </row>
    <row r="53" spans="2:8">
      <c r="B53" s="8">
        <v>163490</v>
      </c>
      <c r="C53" s="8" t="s">
        <v>329</v>
      </c>
      <c r="D53" s="8" t="s">
        <v>330</v>
      </c>
      <c r="E53" s="17">
        <v>4</v>
      </c>
      <c r="F53" s="16">
        <v>4</v>
      </c>
      <c r="G53" s="16">
        <v>35</v>
      </c>
      <c r="H53" s="16">
        <v>7</v>
      </c>
    </row>
    <row r="54" spans="2:8">
      <c r="B54" s="6">
        <v>163511</v>
      </c>
      <c r="C54" s="6" t="s">
        <v>331</v>
      </c>
      <c r="D54" s="6" t="s">
        <v>332</v>
      </c>
      <c r="E54" s="17">
        <v>4</v>
      </c>
      <c r="F54" s="15">
        <v>4</v>
      </c>
      <c r="G54" s="15">
        <v>35</v>
      </c>
      <c r="H54" s="15">
        <v>7</v>
      </c>
    </row>
    <row r="55" spans="2:8">
      <c r="B55" s="8">
        <v>163532</v>
      </c>
      <c r="C55" s="8" t="s">
        <v>333</v>
      </c>
      <c r="D55" s="8" t="s">
        <v>334</v>
      </c>
      <c r="E55" s="17">
        <v>4</v>
      </c>
      <c r="F55" s="16">
        <v>4</v>
      </c>
      <c r="G55" s="16">
        <v>42</v>
      </c>
      <c r="H55" s="16">
        <v>7</v>
      </c>
    </row>
    <row r="56" spans="2:8">
      <c r="B56" s="6">
        <v>163543</v>
      </c>
      <c r="C56" s="6" t="s">
        <v>335</v>
      </c>
      <c r="D56" s="6" t="s">
        <v>336</v>
      </c>
      <c r="E56" s="17">
        <v>4</v>
      </c>
      <c r="F56" s="15">
        <v>4</v>
      </c>
      <c r="G56" s="15">
        <v>35</v>
      </c>
      <c r="H56" s="15">
        <v>7</v>
      </c>
    </row>
    <row r="57" spans="2:8">
      <c r="B57" s="8">
        <v>163555</v>
      </c>
      <c r="C57" s="8" t="s">
        <v>337</v>
      </c>
      <c r="D57" s="8" t="s">
        <v>338</v>
      </c>
      <c r="E57" s="17">
        <v>4</v>
      </c>
      <c r="F57" s="16">
        <v>4</v>
      </c>
      <c r="G57" s="16">
        <v>42</v>
      </c>
      <c r="H57" s="16">
        <v>7</v>
      </c>
    </row>
    <row r="58" spans="2:8">
      <c r="B58" s="6">
        <v>163572</v>
      </c>
      <c r="C58" s="6" t="s">
        <v>339</v>
      </c>
      <c r="D58" s="6" t="s">
        <v>340</v>
      </c>
      <c r="E58" s="17">
        <v>4</v>
      </c>
      <c r="F58" s="15">
        <v>4</v>
      </c>
      <c r="G58" s="15">
        <v>42</v>
      </c>
      <c r="H58" s="15">
        <v>7</v>
      </c>
    </row>
    <row r="59" spans="2:8">
      <c r="B59" s="8">
        <v>163633</v>
      </c>
      <c r="C59" s="8" t="s">
        <v>341</v>
      </c>
      <c r="D59" s="8" t="s">
        <v>342</v>
      </c>
      <c r="E59" s="17">
        <v>4</v>
      </c>
      <c r="F59" s="16">
        <v>4</v>
      </c>
      <c r="G59" s="16">
        <v>37</v>
      </c>
      <c r="H59" s="16">
        <v>7</v>
      </c>
    </row>
    <row r="60" spans="2:8">
      <c r="B60" s="6">
        <v>163714</v>
      </c>
      <c r="C60" s="6" t="s">
        <v>343</v>
      </c>
      <c r="D60" s="6" t="s">
        <v>344</v>
      </c>
      <c r="E60" s="17">
        <v>4</v>
      </c>
      <c r="F60" s="15">
        <v>4</v>
      </c>
      <c r="G60" s="15">
        <v>37</v>
      </c>
      <c r="H60" s="15">
        <v>7</v>
      </c>
    </row>
    <row r="61" spans="2:8">
      <c r="B61" s="8">
        <v>163755</v>
      </c>
      <c r="C61" s="8" t="s">
        <v>345</v>
      </c>
      <c r="D61" s="8" t="s">
        <v>346</v>
      </c>
      <c r="E61" s="17">
        <v>4</v>
      </c>
      <c r="F61" s="16">
        <v>4</v>
      </c>
      <c r="G61" s="16">
        <v>42</v>
      </c>
      <c r="H61" s="16">
        <v>7</v>
      </c>
    </row>
    <row r="62" spans="2:8">
      <c r="B62" s="6">
        <v>163802</v>
      </c>
      <c r="C62" s="6" t="s">
        <v>347</v>
      </c>
      <c r="D62" s="6" t="s">
        <v>348</v>
      </c>
      <c r="E62" s="17">
        <v>4</v>
      </c>
      <c r="F62" s="15">
        <v>4</v>
      </c>
      <c r="G62" s="15">
        <v>42</v>
      </c>
      <c r="H62" s="15">
        <v>7</v>
      </c>
    </row>
    <row r="63" spans="2:8">
      <c r="B63" s="8">
        <v>163803</v>
      </c>
      <c r="C63" s="8" t="s">
        <v>349</v>
      </c>
      <c r="D63" s="8" t="s">
        <v>350</v>
      </c>
      <c r="E63" s="17">
        <v>4</v>
      </c>
      <c r="F63" s="16">
        <v>4</v>
      </c>
      <c r="G63" s="16">
        <v>35</v>
      </c>
      <c r="H63" s="16">
        <v>7</v>
      </c>
    </row>
    <row r="64" spans="2:8">
      <c r="B64" s="6">
        <v>163824</v>
      </c>
      <c r="C64" s="6" t="s">
        <v>351</v>
      </c>
      <c r="D64" s="6" t="s">
        <v>352</v>
      </c>
      <c r="E64" s="17">
        <v>4</v>
      </c>
      <c r="F64" s="15">
        <v>4</v>
      </c>
      <c r="G64" s="15">
        <v>42</v>
      </c>
      <c r="H64" s="15">
        <v>7</v>
      </c>
    </row>
    <row r="65" spans="2:8">
      <c r="B65" s="8">
        <v>163846</v>
      </c>
      <c r="C65" s="8" t="s">
        <v>353</v>
      </c>
      <c r="D65" s="8" t="s">
        <v>354</v>
      </c>
      <c r="E65" s="17">
        <v>4</v>
      </c>
      <c r="F65" s="16">
        <v>4</v>
      </c>
      <c r="G65" s="16">
        <v>35</v>
      </c>
      <c r="H65" s="16">
        <v>7</v>
      </c>
    </row>
    <row r="66" spans="2:8">
      <c r="B66" s="6">
        <v>163878</v>
      </c>
      <c r="C66" s="6" t="s">
        <v>355</v>
      </c>
      <c r="D66" s="6" t="s">
        <v>356</v>
      </c>
      <c r="E66" s="17">
        <v>4</v>
      </c>
      <c r="F66" s="15">
        <v>4</v>
      </c>
      <c r="G66" s="15">
        <v>42</v>
      </c>
      <c r="H66" s="15">
        <v>7</v>
      </c>
    </row>
    <row r="67" spans="2:8">
      <c r="B67" s="8">
        <v>163961</v>
      </c>
      <c r="C67" s="8" t="s">
        <v>357</v>
      </c>
      <c r="D67" s="8" t="s">
        <v>358</v>
      </c>
      <c r="E67" s="17">
        <v>4</v>
      </c>
      <c r="F67" s="16">
        <v>4</v>
      </c>
      <c r="G67" s="16">
        <v>65</v>
      </c>
      <c r="H67" s="16">
        <v>7</v>
      </c>
    </row>
    <row r="68" spans="2:8">
      <c r="B68" s="6">
        <v>163986</v>
      </c>
      <c r="C68" s="6" t="s">
        <v>359</v>
      </c>
      <c r="D68" s="6" t="s">
        <v>360</v>
      </c>
      <c r="E68" s="17">
        <v>4</v>
      </c>
      <c r="F68" s="15">
        <v>4</v>
      </c>
      <c r="G68" s="15">
        <v>42</v>
      </c>
      <c r="H68" s="15">
        <v>7</v>
      </c>
    </row>
    <row r="69" spans="2:8">
      <c r="B69" s="8">
        <v>164011</v>
      </c>
      <c r="C69" s="8" t="s">
        <v>361</v>
      </c>
      <c r="D69" s="8" t="s">
        <v>362</v>
      </c>
      <c r="E69" s="17">
        <v>4</v>
      </c>
      <c r="F69" s="16">
        <v>4</v>
      </c>
      <c r="G69" s="16">
        <v>65</v>
      </c>
      <c r="H69" s="16">
        <v>7</v>
      </c>
    </row>
    <row r="70" spans="2:8">
      <c r="B70" s="6">
        <v>164051</v>
      </c>
      <c r="C70" s="6" t="s">
        <v>363</v>
      </c>
      <c r="D70" s="6" t="s">
        <v>364</v>
      </c>
      <c r="E70" s="17">
        <v>4</v>
      </c>
      <c r="F70" s="15">
        <v>4</v>
      </c>
      <c r="G70" s="15">
        <v>42</v>
      </c>
      <c r="H70" s="15">
        <v>7</v>
      </c>
    </row>
    <row r="71" spans="2:8">
      <c r="B71" s="8">
        <v>164091</v>
      </c>
      <c r="C71" s="8" t="s">
        <v>365</v>
      </c>
      <c r="D71" s="8" t="s">
        <v>366</v>
      </c>
      <c r="E71" s="17">
        <v>4</v>
      </c>
      <c r="F71" s="16">
        <v>4</v>
      </c>
      <c r="G71" s="16">
        <v>35</v>
      </c>
      <c r="H71" s="16">
        <v>7</v>
      </c>
    </row>
    <row r="72" spans="2:8">
      <c r="B72" s="6">
        <v>164157</v>
      </c>
      <c r="C72" s="6" t="s">
        <v>367</v>
      </c>
      <c r="D72" s="6" t="s">
        <v>368</v>
      </c>
      <c r="E72" s="17">
        <v>4</v>
      </c>
      <c r="F72" s="15">
        <v>4</v>
      </c>
      <c r="G72" s="15">
        <v>42</v>
      </c>
      <c r="H72" s="15">
        <v>7</v>
      </c>
    </row>
    <row r="73" spans="2:8">
      <c r="B73" s="8">
        <v>164176</v>
      </c>
      <c r="C73" s="8" t="s">
        <v>369</v>
      </c>
      <c r="D73" s="8" t="s">
        <v>370</v>
      </c>
      <c r="E73" s="17">
        <v>4</v>
      </c>
      <c r="F73" s="16">
        <v>4</v>
      </c>
      <c r="G73" s="16">
        <v>42</v>
      </c>
      <c r="H73" s="16">
        <v>7</v>
      </c>
    </row>
    <row r="74" spans="2:8">
      <c r="B74" s="6">
        <v>164181</v>
      </c>
      <c r="C74" s="6" t="s">
        <v>371</v>
      </c>
      <c r="D74" s="6" t="s">
        <v>372</v>
      </c>
      <c r="E74" s="17">
        <v>4</v>
      </c>
      <c r="F74" s="15">
        <v>4</v>
      </c>
      <c r="G74" s="15">
        <v>35</v>
      </c>
      <c r="H74" s="15">
        <v>7</v>
      </c>
    </row>
    <row r="75" spans="2:8">
      <c r="B75" s="8">
        <v>164183</v>
      </c>
      <c r="C75" s="8" t="s">
        <v>373</v>
      </c>
      <c r="D75" s="8" t="s">
        <v>374</v>
      </c>
      <c r="E75" s="17">
        <v>4</v>
      </c>
      <c r="F75" s="16">
        <v>4</v>
      </c>
      <c r="G75" s="16">
        <v>35</v>
      </c>
      <c r="H75" s="16">
        <v>7</v>
      </c>
    </row>
    <row r="76" spans="2:8">
      <c r="B76" s="6">
        <v>164247</v>
      </c>
      <c r="C76" s="6" t="s">
        <v>375</v>
      </c>
      <c r="D76" s="6" t="s">
        <v>376</v>
      </c>
      <c r="E76" s="17">
        <v>4</v>
      </c>
      <c r="F76" s="15">
        <v>4</v>
      </c>
      <c r="G76" s="15">
        <v>30</v>
      </c>
      <c r="H76" s="15">
        <v>7</v>
      </c>
    </row>
    <row r="77" spans="2:8">
      <c r="B77" s="8">
        <v>164271</v>
      </c>
      <c r="C77" s="8" t="s">
        <v>377</v>
      </c>
      <c r="D77" s="8" t="s">
        <v>378</v>
      </c>
      <c r="E77" s="17">
        <v>4</v>
      </c>
      <c r="F77" s="16">
        <v>4</v>
      </c>
      <c r="G77" s="16">
        <v>35</v>
      </c>
      <c r="H77" s="16">
        <v>7</v>
      </c>
    </row>
    <row r="78" spans="2:8">
      <c r="B78" s="6">
        <v>164297</v>
      </c>
      <c r="C78" s="6" t="s">
        <v>379</v>
      </c>
      <c r="D78" s="6" t="s">
        <v>380</v>
      </c>
      <c r="E78" s="17">
        <v>4</v>
      </c>
      <c r="F78" s="15">
        <v>4</v>
      </c>
      <c r="G78" s="15">
        <v>35</v>
      </c>
      <c r="H78" s="15">
        <v>7</v>
      </c>
    </row>
    <row r="79" spans="2:8">
      <c r="B79" s="8">
        <v>164333</v>
      </c>
      <c r="C79" s="8" t="s">
        <v>381</v>
      </c>
      <c r="D79" s="8" t="s">
        <v>382</v>
      </c>
      <c r="E79" s="17">
        <v>4</v>
      </c>
      <c r="F79" s="16">
        <v>4</v>
      </c>
      <c r="G79" s="16">
        <v>35</v>
      </c>
      <c r="H79" s="16">
        <v>7</v>
      </c>
    </row>
    <row r="80" spans="2:8">
      <c r="B80" s="6">
        <v>164405</v>
      </c>
      <c r="C80" s="6" t="s">
        <v>383</v>
      </c>
      <c r="D80" s="6" t="s">
        <v>105</v>
      </c>
      <c r="E80" s="17">
        <v>4</v>
      </c>
      <c r="F80" s="15">
        <v>4</v>
      </c>
      <c r="G80" s="15">
        <v>35</v>
      </c>
      <c r="H80" s="15">
        <v>7</v>
      </c>
    </row>
    <row r="81" spans="2:8">
      <c r="B81" s="8">
        <v>164410</v>
      </c>
      <c r="C81" s="8" t="s">
        <v>384</v>
      </c>
      <c r="D81" s="8" t="s">
        <v>103</v>
      </c>
      <c r="E81" s="17">
        <v>4</v>
      </c>
      <c r="F81" s="16">
        <v>4</v>
      </c>
      <c r="G81" s="16">
        <v>35</v>
      </c>
      <c r="H81" s="16">
        <v>7</v>
      </c>
    </row>
    <row r="82" spans="2:8">
      <c r="B82" s="6">
        <v>164415</v>
      </c>
      <c r="C82" s="6" t="s">
        <v>385</v>
      </c>
      <c r="D82" s="6" t="s">
        <v>386</v>
      </c>
      <c r="E82" s="17">
        <v>4</v>
      </c>
      <c r="F82" s="15">
        <v>4</v>
      </c>
      <c r="G82" s="15">
        <v>95</v>
      </c>
      <c r="H82" s="15">
        <v>7</v>
      </c>
    </row>
    <row r="83" spans="2:8">
      <c r="B83" s="8">
        <v>164439</v>
      </c>
      <c r="C83" s="8" t="s">
        <v>387</v>
      </c>
      <c r="D83" s="8" t="s">
        <v>99</v>
      </c>
      <c r="E83" s="17">
        <v>4</v>
      </c>
      <c r="F83" s="16">
        <v>4</v>
      </c>
      <c r="G83" s="16">
        <v>42</v>
      </c>
      <c r="H83" s="16">
        <v>7</v>
      </c>
    </row>
    <row r="84" spans="2:8">
      <c r="B84" s="6">
        <v>164442</v>
      </c>
      <c r="C84" s="6" t="s">
        <v>388</v>
      </c>
      <c r="D84" s="6" t="s">
        <v>101</v>
      </c>
      <c r="E84" s="17">
        <v>4</v>
      </c>
      <c r="F84" s="15">
        <v>4</v>
      </c>
      <c r="G84" s="15">
        <v>35</v>
      </c>
      <c r="H84" s="15">
        <v>7</v>
      </c>
    </row>
    <row r="85" spans="2:8">
      <c r="B85" s="8">
        <v>164463</v>
      </c>
      <c r="C85" s="8" t="s">
        <v>389</v>
      </c>
      <c r="D85" s="8" t="s">
        <v>390</v>
      </c>
      <c r="E85" s="17">
        <v>4</v>
      </c>
      <c r="F85" s="16">
        <v>4</v>
      </c>
      <c r="G85" s="16">
        <v>95</v>
      </c>
      <c r="H85" s="16">
        <v>7</v>
      </c>
    </row>
    <row r="86" spans="2:8">
      <c r="B86" s="6">
        <v>164469</v>
      </c>
      <c r="C86" s="6" t="s">
        <v>391</v>
      </c>
      <c r="D86" s="6" t="s">
        <v>392</v>
      </c>
      <c r="E86" s="17">
        <v>4</v>
      </c>
      <c r="F86" s="15">
        <v>4</v>
      </c>
      <c r="G86" s="15">
        <v>95</v>
      </c>
      <c r="H86" s="15">
        <v>7</v>
      </c>
    </row>
    <row r="87" spans="2:8">
      <c r="B87" s="8">
        <v>164531</v>
      </c>
      <c r="C87" s="8" t="s">
        <v>393</v>
      </c>
      <c r="D87" s="8" t="s">
        <v>394</v>
      </c>
      <c r="E87" s="17">
        <v>4</v>
      </c>
      <c r="F87" s="16">
        <v>4</v>
      </c>
      <c r="G87" s="16">
        <v>95</v>
      </c>
      <c r="H87" s="16">
        <v>7</v>
      </c>
    </row>
    <row r="88" spans="2:8">
      <c r="B88" s="6">
        <v>164580</v>
      </c>
      <c r="C88" s="6" t="s">
        <v>395</v>
      </c>
      <c r="D88" s="6" t="s">
        <v>225</v>
      </c>
      <c r="E88" s="18">
        <v>3</v>
      </c>
      <c r="F88" s="15">
        <v>3</v>
      </c>
      <c r="G88" s="15">
        <v>30</v>
      </c>
      <c r="H88" s="15">
        <v>8</v>
      </c>
    </row>
    <row r="89" spans="2:8">
      <c r="B89" s="8">
        <v>164653</v>
      </c>
      <c r="C89" s="8" t="s">
        <v>396</v>
      </c>
      <c r="D89" s="8" t="s">
        <v>227</v>
      </c>
      <c r="E89" s="18">
        <v>3</v>
      </c>
      <c r="F89" s="16">
        <v>3</v>
      </c>
      <c r="G89" s="16">
        <v>30</v>
      </c>
      <c r="H89" s="16">
        <v>8</v>
      </c>
    </row>
    <row r="90" spans="2:8">
      <c r="B90" s="6">
        <v>164846</v>
      </c>
      <c r="C90" s="6" t="s">
        <v>397</v>
      </c>
      <c r="D90" s="6" t="s">
        <v>398</v>
      </c>
      <c r="E90" s="18">
        <v>3</v>
      </c>
      <c r="F90" s="15">
        <v>3</v>
      </c>
      <c r="G90" s="15">
        <v>35</v>
      </c>
      <c r="H90" s="15">
        <v>8</v>
      </c>
    </row>
    <row r="91" spans="2:8">
      <c r="B91" s="8">
        <v>6600199</v>
      </c>
      <c r="C91" s="8" t="s">
        <v>399</v>
      </c>
      <c r="D91" s="8" t="s">
        <v>231</v>
      </c>
      <c r="E91" s="18">
        <v>3</v>
      </c>
      <c r="F91" s="16">
        <v>3</v>
      </c>
      <c r="G91" s="16">
        <v>30</v>
      </c>
      <c r="H91" s="16">
        <v>8</v>
      </c>
    </row>
    <row r="92" spans="2:8">
      <c r="B92" s="6">
        <v>6600211</v>
      </c>
      <c r="C92" s="6" t="s">
        <v>400</v>
      </c>
      <c r="D92" s="6" t="s">
        <v>401</v>
      </c>
      <c r="E92" s="18">
        <v>3</v>
      </c>
      <c r="F92" s="15">
        <v>3</v>
      </c>
      <c r="G92" s="15">
        <v>37</v>
      </c>
      <c r="H92" s="15">
        <v>8</v>
      </c>
    </row>
    <row r="93" spans="2:8">
      <c r="B93" s="8">
        <v>6600365</v>
      </c>
      <c r="C93" s="8" t="s">
        <v>402</v>
      </c>
      <c r="D93" s="8" t="s">
        <v>243</v>
      </c>
      <c r="E93" s="18">
        <v>3</v>
      </c>
      <c r="F93" s="16">
        <v>3</v>
      </c>
      <c r="G93" s="16">
        <v>30</v>
      </c>
      <c r="H93" s="16">
        <v>8</v>
      </c>
    </row>
    <row r="94" spans="2:8">
      <c r="B94" s="6">
        <v>6600381</v>
      </c>
      <c r="C94" s="6" t="s">
        <v>403</v>
      </c>
      <c r="D94" s="6" t="s">
        <v>404</v>
      </c>
      <c r="E94" s="18">
        <v>3</v>
      </c>
      <c r="F94" s="15">
        <v>3</v>
      </c>
      <c r="G94" s="15">
        <v>30</v>
      </c>
      <c r="H94" s="15">
        <v>8</v>
      </c>
    </row>
    <row r="95" spans="2:8">
      <c r="B95" s="8">
        <v>6600384</v>
      </c>
      <c r="C95" s="8" t="s">
        <v>405</v>
      </c>
      <c r="D95" s="8" t="s">
        <v>235</v>
      </c>
      <c r="E95" s="18">
        <v>3</v>
      </c>
      <c r="F95" s="16">
        <v>3</v>
      </c>
      <c r="G95" s="16">
        <v>37</v>
      </c>
      <c r="H95" s="16">
        <v>8</v>
      </c>
    </row>
    <row r="96" spans="2:8">
      <c r="B96" s="6">
        <v>6600443</v>
      </c>
      <c r="C96" s="6" t="s">
        <v>406</v>
      </c>
      <c r="D96" s="6" t="s">
        <v>237</v>
      </c>
      <c r="E96" s="18">
        <v>3</v>
      </c>
      <c r="F96" s="15">
        <v>3</v>
      </c>
      <c r="G96" s="15">
        <v>30</v>
      </c>
      <c r="H96" s="15">
        <v>8</v>
      </c>
    </row>
    <row r="97" spans="2:8">
      <c r="B97" s="8">
        <v>163473</v>
      </c>
      <c r="C97" s="8" t="s">
        <v>407</v>
      </c>
      <c r="D97" s="8" t="s">
        <v>408</v>
      </c>
      <c r="E97" s="18">
        <v>3</v>
      </c>
      <c r="F97" s="16">
        <v>3</v>
      </c>
      <c r="G97" s="16">
        <v>35</v>
      </c>
      <c r="H97" s="16">
        <v>7</v>
      </c>
    </row>
    <row r="98" spans="2:8">
      <c r="B98" s="6">
        <v>163575</v>
      </c>
      <c r="C98" s="6" t="s">
        <v>409</v>
      </c>
      <c r="D98" s="6" t="s">
        <v>410</v>
      </c>
      <c r="E98" s="18">
        <v>3</v>
      </c>
      <c r="F98" s="15">
        <v>3</v>
      </c>
      <c r="G98" s="15">
        <v>35</v>
      </c>
      <c r="H98" s="15">
        <v>7</v>
      </c>
    </row>
    <row r="99" spans="2:8">
      <c r="B99" s="8">
        <v>163578</v>
      </c>
      <c r="C99" s="8" t="s">
        <v>411</v>
      </c>
      <c r="D99" s="8" t="s">
        <v>412</v>
      </c>
      <c r="E99" s="18">
        <v>3</v>
      </c>
      <c r="F99" s="16">
        <v>3</v>
      </c>
      <c r="G99" s="16">
        <v>36</v>
      </c>
      <c r="H99" s="16">
        <v>7</v>
      </c>
    </row>
    <row r="100" spans="2:8">
      <c r="B100" s="6">
        <v>163844</v>
      </c>
      <c r="C100" s="6" t="s">
        <v>413</v>
      </c>
      <c r="D100" s="6" t="s">
        <v>414</v>
      </c>
      <c r="E100" s="18">
        <v>3</v>
      </c>
      <c r="F100" s="15">
        <v>3</v>
      </c>
      <c r="G100" s="15">
        <v>37</v>
      </c>
      <c r="H100" s="15">
        <v>7</v>
      </c>
    </row>
    <row r="101" spans="2:8">
      <c r="B101" s="8">
        <v>163897</v>
      </c>
      <c r="C101" s="8" t="s">
        <v>415</v>
      </c>
      <c r="D101" s="8" t="s">
        <v>416</v>
      </c>
      <c r="E101" s="18">
        <v>3</v>
      </c>
      <c r="F101" s="16">
        <v>3</v>
      </c>
      <c r="G101" s="16">
        <v>35</v>
      </c>
      <c r="H101" s="16">
        <v>7</v>
      </c>
    </row>
    <row r="102" spans="2:8">
      <c r="B102" s="6">
        <v>163942</v>
      </c>
      <c r="C102" s="6" t="s">
        <v>417</v>
      </c>
      <c r="D102" s="6" t="s">
        <v>418</v>
      </c>
      <c r="E102" s="18">
        <v>3</v>
      </c>
      <c r="F102" s="15">
        <v>3</v>
      </c>
      <c r="G102" s="15">
        <v>30</v>
      </c>
      <c r="H102" s="15">
        <v>7</v>
      </c>
    </row>
    <row r="103" spans="2:8">
      <c r="B103" s="8">
        <v>163950</v>
      </c>
      <c r="C103" s="8" t="s">
        <v>419</v>
      </c>
      <c r="D103" s="8" t="s">
        <v>420</v>
      </c>
      <c r="E103" s="18">
        <v>3</v>
      </c>
      <c r="F103" s="16">
        <v>3</v>
      </c>
      <c r="G103" s="16">
        <v>30</v>
      </c>
      <c r="H103" s="16">
        <v>7</v>
      </c>
    </row>
    <row r="104" spans="2:8">
      <c r="B104" s="6">
        <v>163952</v>
      </c>
      <c r="C104" s="6" t="s">
        <v>421</v>
      </c>
      <c r="D104" s="6" t="s">
        <v>422</v>
      </c>
      <c r="E104" s="18">
        <v>3</v>
      </c>
      <c r="F104" s="15">
        <v>3</v>
      </c>
      <c r="G104" s="15">
        <v>30</v>
      </c>
      <c r="H104" s="15">
        <v>7</v>
      </c>
    </row>
    <row r="105" spans="2:8">
      <c r="B105" s="8">
        <v>164111</v>
      </c>
      <c r="C105" s="8" t="s">
        <v>423</v>
      </c>
      <c r="D105" s="8" t="s">
        <v>424</v>
      </c>
      <c r="E105" s="18">
        <v>3</v>
      </c>
      <c r="F105" s="16">
        <v>3</v>
      </c>
      <c r="G105" s="16">
        <v>30</v>
      </c>
      <c r="H105" s="16">
        <v>7</v>
      </c>
    </row>
    <row r="106" spans="2:8">
      <c r="B106" s="6">
        <v>164158</v>
      </c>
      <c r="C106" s="6" t="s">
        <v>425</v>
      </c>
      <c r="D106" s="6" t="s">
        <v>426</v>
      </c>
      <c r="E106" s="18">
        <v>3</v>
      </c>
      <c r="F106" s="15">
        <v>3</v>
      </c>
      <c r="G106" s="15">
        <v>37</v>
      </c>
      <c r="H106" s="15">
        <v>7</v>
      </c>
    </row>
    <row r="107" spans="2:8">
      <c r="B107" s="8">
        <v>164199</v>
      </c>
      <c r="C107" s="8" t="s">
        <v>427</v>
      </c>
      <c r="D107" s="8" t="s">
        <v>428</v>
      </c>
      <c r="E107" s="18">
        <v>3</v>
      </c>
      <c r="F107" s="16">
        <v>3</v>
      </c>
      <c r="G107" s="16">
        <v>30</v>
      </c>
      <c r="H107" s="16">
        <v>7</v>
      </c>
    </row>
    <row r="108" spans="2:8">
      <c r="B108" s="6">
        <v>164200</v>
      </c>
      <c r="C108" s="6" t="s">
        <v>429</v>
      </c>
      <c r="D108" s="6" t="s">
        <v>430</v>
      </c>
      <c r="E108" s="18">
        <v>3</v>
      </c>
      <c r="F108" s="15">
        <v>3</v>
      </c>
      <c r="G108" s="15">
        <v>30</v>
      </c>
      <c r="H108" s="15">
        <v>7</v>
      </c>
    </row>
    <row r="109" spans="2:8">
      <c r="B109" s="8">
        <v>164250</v>
      </c>
      <c r="C109" s="8" t="s">
        <v>431</v>
      </c>
      <c r="D109" s="8" t="s">
        <v>432</v>
      </c>
      <c r="E109" s="18">
        <v>3</v>
      </c>
      <c r="F109" s="16">
        <v>3</v>
      </c>
      <c r="G109" s="16">
        <v>30</v>
      </c>
      <c r="H109" s="16">
        <v>7</v>
      </c>
    </row>
    <row r="110" spans="2:8">
      <c r="B110" s="6">
        <v>164253</v>
      </c>
      <c r="C110" s="6" t="s">
        <v>433</v>
      </c>
      <c r="D110" s="6" t="s">
        <v>434</v>
      </c>
      <c r="E110" s="18">
        <v>3</v>
      </c>
      <c r="F110" s="15">
        <v>3</v>
      </c>
      <c r="G110" s="15">
        <v>35</v>
      </c>
      <c r="H110" s="15">
        <v>7</v>
      </c>
    </row>
    <row r="111" spans="2:8">
      <c r="B111" s="8">
        <v>164376</v>
      </c>
      <c r="C111" s="8" t="s">
        <v>435</v>
      </c>
      <c r="D111" s="8" t="s">
        <v>436</v>
      </c>
      <c r="E111" s="18">
        <v>3</v>
      </c>
      <c r="F111" s="16">
        <v>3</v>
      </c>
      <c r="G111" s="16">
        <v>65</v>
      </c>
      <c r="H111" s="16">
        <v>7</v>
      </c>
    </row>
    <row r="112" spans="2:8">
      <c r="B112" s="6">
        <v>164379</v>
      </c>
      <c r="C112" s="6" t="s">
        <v>437</v>
      </c>
      <c r="D112" s="6" t="s">
        <v>438</v>
      </c>
      <c r="E112" s="18">
        <v>3</v>
      </c>
      <c r="F112" s="15">
        <v>3</v>
      </c>
      <c r="G112" s="15">
        <v>30</v>
      </c>
      <c r="H112" s="15">
        <v>7</v>
      </c>
    </row>
    <row r="113" spans="2:8">
      <c r="B113" s="8">
        <v>164490</v>
      </c>
      <c r="C113" s="8" t="s">
        <v>439</v>
      </c>
      <c r="D113" s="8" t="s">
        <v>223</v>
      </c>
      <c r="E113" s="18">
        <v>3</v>
      </c>
      <c r="F113" s="16">
        <v>3</v>
      </c>
      <c r="G113" s="16">
        <v>42</v>
      </c>
      <c r="H113" s="16">
        <v>7</v>
      </c>
    </row>
    <row r="114" spans="2:8">
      <c r="B114" s="6">
        <v>164862</v>
      </c>
      <c r="C114" s="6" t="s">
        <v>440</v>
      </c>
      <c r="D114" s="6" t="s">
        <v>251</v>
      </c>
      <c r="E114" s="19">
        <v>2</v>
      </c>
      <c r="F114" s="15">
        <v>2</v>
      </c>
      <c r="G114" s="15">
        <v>20</v>
      </c>
      <c r="H114" s="15">
        <v>8</v>
      </c>
    </row>
    <row r="115" spans="2:8">
      <c r="B115" s="8">
        <v>6600398</v>
      </c>
      <c r="C115" s="8" t="s">
        <v>441</v>
      </c>
      <c r="D115" s="8" t="s">
        <v>233</v>
      </c>
      <c r="E115" s="19">
        <v>2</v>
      </c>
      <c r="F115" s="16">
        <v>2</v>
      </c>
      <c r="G115" s="16">
        <v>42</v>
      </c>
      <c r="H115" s="16">
        <v>8</v>
      </c>
    </row>
    <row r="116" spans="2:8">
      <c r="B116" s="6">
        <v>163752</v>
      </c>
      <c r="C116" s="6" t="s">
        <v>442</v>
      </c>
      <c r="D116" s="6" t="s">
        <v>443</v>
      </c>
      <c r="E116" s="19">
        <v>2</v>
      </c>
      <c r="F116" s="15">
        <v>2</v>
      </c>
      <c r="G116" s="15">
        <v>27</v>
      </c>
      <c r="H116" s="15"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65"/>
  <sheetViews>
    <sheetView showGridLines="0" zoomScaleNormal="100" workbookViewId="0">
      <pane xSplit="1" ySplit="5" topLeftCell="B28" activePane="bottomRight" state="frozen"/>
      <selection pane="bottomRight"/>
      <selection pane="bottomLeft" activeCell="A6" sqref="A6"/>
      <selection pane="topRight" activeCell="B1" sqref="B1"/>
    </sheetView>
  </sheetViews>
  <sheetFormatPr defaultColWidth="8.7109375" defaultRowHeight="15"/>
  <cols>
    <col min="1" max="1" width="3" customWidth="1"/>
    <col min="2" max="2" width="8" customWidth="1"/>
    <col min="3" max="3" width="55" customWidth="1"/>
    <col min="4" max="4" width="30" customWidth="1"/>
    <col min="5" max="5" width="10" customWidth="1"/>
    <col min="6" max="6" width="12" customWidth="1"/>
    <col min="7" max="7" width="8" customWidth="1"/>
    <col min="8" max="8" width="14" customWidth="1"/>
  </cols>
  <sheetData>
    <row r="2" spans="2:8" ht="17.45">
      <c r="B2" s="1" t="s">
        <v>10</v>
      </c>
    </row>
    <row r="3" spans="2:8">
      <c r="B3" s="2" t="s">
        <v>444</v>
      </c>
    </row>
    <row r="5" spans="2:8" ht="26.85">
      <c r="B5" s="5" t="s">
        <v>33</v>
      </c>
      <c r="C5" s="5" t="s">
        <v>34</v>
      </c>
      <c r="D5" s="5" t="s">
        <v>35</v>
      </c>
      <c r="E5" s="5" t="s">
        <v>36</v>
      </c>
      <c r="F5" s="5" t="s">
        <v>37</v>
      </c>
      <c r="G5" s="5" t="s">
        <v>38</v>
      </c>
      <c r="H5" s="5" t="s">
        <v>39</v>
      </c>
    </row>
    <row r="6" spans="2:8">
      <c r="B6" s="6">
        <v>387315</v>
      </c>
      <c r="C6" s="6" t="s">
        <v>445</v>
      </c>
      <c r="D6" s="6" t="s">
        <v>446</v>
      </c>
      <c r="E6" s="17">
        <v>4</v>
      </c>
      <c r="F6" s="15">
        <v>4</v>
      </c>
      <c r="G6" s="15">
        <v>30</v>
      </c>
      <c r="H6" s="15">
        <v>3</v>
      </c>
    </row>
    <row r="7" spans="2:8">
      <c r="B7" s="8">
        <v>387318</v>
      </c>
      <c r="C7" s="8" t="s">
        <v>447</v>
      </c>
      <c r="D7" s="8" t="s">
        <v>448</v>
      </c>
      <c r="E7" s="17">
        <v>4</v>
      </c>
      <c r="F7" s="16">
        <v>4</v>
      </c>
      <c r="G7" s="16">
        <v>35</v>
      </c>
      <c r="H7" s="16">
        <v>3</v>
      </c>
    </row>
    <row r="8" spans="2:8">
      <c r="B8" s="6">
        <v>387598</v>
      </c>
      <c r="C8" s="6" t="s">
        <v>449</v>
      </c>
      <c r="D8" s="6" t="s">
        <v>450</v>
      </c>
      <c r="E8" s="17">
        <v>4</v>
      </c>
      <c r="F8" s="15">
        <v>4</v>
      </c>
      <c r="G8" s="15">
        <v>35</v>
      </c>
      <c r="H8" s="15">
        <v>3</v>
      </c>
    </row>
    <row r="9" spans="2:8">
      <c r="B9" s="8">
        <v>387606</v>
      </c>
      <c r="C9" s="8" t="s">
        <v>451</v>
      </c>
      <c r="D9" s="8" t="s">
        <v>452</v>
      </c>
      <c r="E9" s="17">
        <v>4</v>
      </c>
      <c r="F9" s="16">
        <v>4</v>
      </c>
      <c r="G9" s="16">
        <v>35</v>
      </c>
      <c r="H9" s="16">
        <v>3</v>
      </c>
    </row>
    <row r="10" spans="2:8">
      <c r="B10" s="6">
        <v>388042</v>
      </c>
      <c r="C10" s="6" t="s">
        <v>453</v>
      </c>
      <c r="D10" s="6" t="s">
        <v>454</v>
      </c>
      <c r="E10" s="17">
        <v>4</v>
      </c>
      <c r="F10" s="15">
        <v>4</v>
      </c>
      <c r="G10" s="15">
        <v>30</v>
      </c>
      <c r="H10" s="15">
        <v>3</v>
      </c>
    </row>
    <row r="11" spans="2:8">
      <c r="B11" s="8">
        <v>388053</v>
      </c>
      <c r="C11" s="8" t="s">
        <v>455</v>
      </c>
      <c r="D11" s="8" t="s">
        <v>456</v>
      </c>
      <c r="E11" s="17">
        <v>4</v>
      </c>
      <c r="F11" s="16">
        <v>4</v>
      </c>
      <c r="G11" s="16">
        <v>35</v>
      </c>
      <c r="H11" s="16">
        <v>3</v>
      </c>
    </row>
    <row r="12" spans="2:8">
      <c r="B12" s="6">
        <v>388058</v>
      </c>
      <c r="C12" s="6" t="s">
        <v>457</v>
      </c>
      <c r="D12" s="6" t="s">
        <v>458</v>
      </c>
      <c r="E12" s="17">
        <v>4</v>
      </c>
      <c r="F12" s="15">
        <v>4</v>
      </c>
      <c r="G12" s="15">
        <v>35</v>
      </c>
      <c r="H12" s="15">
        <v>3</v>
      </c>
    </row>
    <row r="13" spans="2:8">
      <c r="B13" s="8">
        <v>388062</v>
      </c>
      <c r="C13" s="8" t="s">
        <v>459</v>
      </c>
      <c r="D13" s="8" t="s">
        <v>460</v>
      </c>
      <c r="E13" s="17">
        <v>4</v>
      </c>
      <c r="F13" s="16">
        <v>4</v>
      </c>
      <c r="G13" s="16">
        <v>65</v>
      </c>
      <c r="H13" s="16">
        <v>3</v>
      </c>
    </row>
    <row r="14" spans="2:8">
      <c r="B14" s="6">
        <v>388277</v>
      </c>
      <c r="C14" s="6" t="s">
        <v>461</v>
      </c>
      <c r="D14" s="6" t="s">
        <v>462</v>
      </c>
      <c r="E14" s="17">
        <v>4</v>
      </c>
      <c r="F14" s="15">
        <v>4</v>
      </c>
      <c r="G14" s="15">
        <v>35</v>
      </c>
      <c r="H14" s="15">
        <v>3</v>
      </c>
    </row>
    <row r="15" spans="2:8">
      <c r="B15" s="8">
        <v>388280</v>
      </c>
      <c r="C15" s="8" t="s">
        <v>463</v>
      </c>
      <c r="D15" s="8" t="s">
        <v>464</v>
      </c>
      <c r="E15" s="17">
        <v>4</v>
      </c>
      <c r="F15" s="16">
        <v>4</v>
      </c>
      <c r="G15" s="16">
        <v>65</v>
      </c>
      <c r="H15" s="16">
        <v>3</v>
      </c>
    </row>
    <row r="16" spans="2:8">
      <c r="B16" s="6">
        <v>388289</v>
      </c>
      <c r="C16" s="6" t="s">
        <v>465</v>
      </c>
      <c r="D16" s="6" t="s">
        <v>466</v>
      </c>
      <c r="E16" s="17">
        <v>4</v>
      </c>
      <c r="F16" s="15">
        <v>4</v>
      </c>
      <c r="G16" s="15">
        <v>35</v>
      </c>
      <c r="H16" s="15">
        <v>3</v>
      </c>
    </row>
    <row r="17" spans="2:8">
      <c r="B17" s="8">
        <v>388290</v>
      </c>
      <c r="C17" s="8" t="s">
        <v>467</v>
      </c>
      <c r="D17" s="8" t="s">
        <v>468</v>
      </c>
      <c r="E17" s="17">
        <v>4</v>
      </c>
      <c r="F17" s="16">
        <v>4</v>
      </c>
      <c r="G17" s="16">
        <v>35</v>
      </c>
      <c r="H17" s="16">
        <v>3</v>
      </c>
    </row>
    <row r="18" spans="2:8">
      <c r="B18" s="6">
        <v>388291</v>
      </c>
      <c r="C18" s="6" t="s">
        <v>469</v>
      </c>
      <c r="D18" s="6" t="s">
        <v>470</v>
      </c>
      <c r="E18" s="17">
        <v>4</v>
      </c>
      <c r="F18" s="15">
        <v>4</v>
      </c>
      <c r="G18" s="15">
        <v>35</v>
      </c>
      <c r="H18" s="15">
        <v>3</v>
      </c>
    </row>
    <row r="19" spans="2:8">
      <c r="B19" s="8">
        <v>388294</v>
      </c>
      <c r="C19" s="8" t="s">
        <v>471</v>
      </c>
      <c r="D19" s="8" t="s">
        <v>472</v>
      </c>
      <c r="E19" s="17">
        <v>4</v>
      </c>
      <c r="F19" s="16">
        <v>4</v>
      </c>
      <c r="G19" s="16">
        <v>35</v>
      </c>
      <c r="H19" s="16">
        <v>3</v>
      </c>
    </row>
    <row r="20" spans="2:8">
      <c r="B20" s="6">
        <v>388295</v>
      </c>
      <c r="C20" s="6" t="s">
        <v>473</v>
      </c>
      <c r="D20" s="6" t="s">
        <v>474</v>
      </c>
      <c r="E20" s="17">
        <v>4</v>
      </c>
      <c r="F20" s="15">
        <v>4</v>
      </c>
      <c r="G20" s="15">
        <v>35</v>
      </c>
      <c r="H20" s="15">
        <v>3</v>
      </c>
    </row>
    <row r="21" spans="2:8">
      <c r="B21" s="8">
        <v>388299</v>
      </c>
      <c r="C21" s="8" t="s">
        <v>475</v>
      </c>
      <c r="D21" s="8" t="s">
        <v>476</v>
      </c>
      <c r="E21" s="17">
        <v>4</v>
      </c>
      <c r="F21" s="16">
        <v>4</v>
      </c>
      <c r="G21" s="16">
        <v>35</v>
      </c>
      <c r="H21" s="16">
        <v>3</v>
      </c>
    </row>
    <row r="22" spans="2:8">
      <c r="B22" s="6">
        <v>388300</v>
      </c>
      <c r="C22" s="6" t="s">
        <v>477</v>
      </c>
      <c r="D22" s="6" t="s">
        <v>478</v>
      </c>
      <c r="E22" s="17">
        <v>4</v>
      </c>
      <c r="F22" s="15">
        <v>4</v>
      </c>
      <c r="G22" s="15">
        <v>35</v>
      </c>
      <c r="H22" s="15">
        <v>3</v>
      </c>
    </row>
    <row r="23" spans="2:8">
      <c r="B23" s="8">
        <v>387194</v>
      </c>
      <c r="C23" s="8" t="s">
        <v>479</v>
      </c>
      <c r="D23" s="8" t="s">
        <v>480</v>
      </c>
      <c r="E23" s="18">
        <v>3</v>
      </c>
      <c r="F23" s="16">
        <v>3</v>
      </c>
      <c r="G23" s="16">
        <v>35</v>
      </c>
      <c r="H23" s="16">
        <v>3</v>
      </c>
    </row>
    <row r="24" spans="2:8">
      <c r="B24" s="6">
        <v>387195</v>
      </c>
      <c r="C24" s="6" t="s">
        <v>481</v>
      </c>
      <c r="D24" s="6" t="s">
        <v>482</v>
      </c>
      <c r="E24" s="18">
        <v>3</v>
      </c>
      <c r="F24" s="15">
        <v>3</v>
      </c>
      <c r="G24" s="15">
        <v>30</v>
      </c>
      <c r="H24" s="15">
        <v>3</v>
      </c>
    </row>
    <row r="25" spans="2:8">
      <c r="B25" s="8">
        <v>387317</v>
      </c>
      <c r="C25" s="8" t="s">
        <v>483</v>
      </c>
      <c r="D25" s="8" t="s">
        <v>484</v>
      </c>
      <c r="E25" s="18">
        <v>3</v>
      </c>
      <c r="F25" s="16">
        <v>3</v>
      </c>
      <c r="G25" s="16">
        <v>35</v>
      </c>
      <c r="H25" s="16">
        <v>3</v>
      </c>
    </row>
    <row r="26" spans="2:8">
      <c r="B26" s="6">
        <v>387426</v>
      </c>
      <c r="C26" s="6" t="s">
        <v>485</v>
      </c>
      <c r="D26" s="6" t="s">
        <v>486</v>
      </c>
      <c r="E26" s="18">
        <v>3</v>
      </c>
      <c r="F26" s="15">
        <v>3</v>
      </c>
      <c r="G26" s="15">
        <v>35</v>
      </c>
      <c r="H26" s="15">
        <v>3</v>
      </c>
    </row>
    <row r="27" spans="2:8">
      <c r="B27" s="8">
        <v>387597</v>
      </c>
      <c r="C27" s="8" t="s">
        <v>487</v>
      </c>
      <c r="D27" s="8" t="s">
        <v>488</v>
      </c>
      <c r="E27" s="18">
        <v>3</v>
      </c>
      <c r="F27" s="16">
        <v>3</v>
      </c>
      <c r="G27" s="16">
        <v>35</v>
      </c>
      <c r="H27" s="16">
        <v>3</v>
      </c>
    </row>
    <row r="28" spans="2:8">
      <c r="B28" s="6">
        <v>387599</v>
      </c>
      <c r="C28" s="6" t="s">
        <v>489</v>
      </c>
      <c r="D28" s="6" t="s">
        <v>490</v>
      </c>
      <c r="E28" s="18">
        <v>3</v>
      </c>
      <c r="F28" s="15">
        <v>3</v>
      </c>
      <c r="G28" s="15">
        <v>35</v>
      </c>
      <c r="H28" s="15">
        <v>3</v>
      </c>
    </row>
    <row r="29" spans="2:8">
      <c r="B29" s="8">
        <v>387600</v>
      </c>
      <c r="C29" s="8" t="s">
        <v>491</v>
      </c>
      <c r="D29" s="8" t="s">
        <v>492</v>
      </c>
      <c r="E29" s="18">
        <v>3</v>
      </c>
      <c r="F29" s="16">
        <v>3</v>
      </c>
      <c r="G29" s="16">
        <v>30</v>
      </c>
      <c r="H29" s="16">
        <v>3</v>
      </c>
    </row>
    <row r="30" spans="2:8">
      <c r="B30" s="6">
        <v>387601</v>
      </c>
      <c r="C30" s="6" t="s">
        <v>493</v>
      </c>
      <c r="D30" s="6" t="s">
        <v>494</v>
      </c>
      <c r="E30" s="18">
        <v>3</v>
      </c>
      <c r="F30" s="15">
        <v>3</v>
      </c>
      <c r="G30" s="15">
        <v>35</v>
      </c>
      <c r="H30" s="15">
        <v>3</v>
      </c>
    </row>
    <row r="31" spans="2:8">
      <c r="B31" s="8">
        <v>387602</v>
      </c>
      <c r="C31" s="8" t="s">
        <v>495</v>
      </c>
      <c r="D31" s="8" t="s">
        <v>496</v>
      </c>
      <c r="E31" s="18">
        <v>3</v>
      </c>
      <c r="F31" s="16">
        <v>3</v>
      </c>
      <c r="G31" s="16">
        <v>35</v>
      </c>
      <c r="H31" s="16">
        <v>3</v>
      </c>
    </row>
    <row r="32" spans="2:8">
      <c r="B32" s="6">
        <v>387603</v>
      </c>
      <c r="C32" s="6" t="s">
        <v>497</v>
      </c>
      <c r="D32" s="6" t="s">
        <v>498</v>
      </c>
      <c r="E32" s="18">
        <v>3</v>
      </c>
      <c r="F32" s="15">
        <v>3</v>
      </c>
      <c r="G32" s="15">
        <v>35</v>
      </c>
      <c r="H32" s="15">
        <v>3</v>
      </c>
    </row>
    <row r="33" spans="2:8">
      <c r="B33" s="8">
        <v>387604</v>
      </c>
      <c r="C33" s="8" t="s">
        <v>499</v>
      </c>
      <c r="D33" s="8" t="s">
        <v>500</v>
      </c>
      <c r="E33" s="18">
        <v>3</v>
      </c>
      <c r="F33" s="16">
        <v>3</v>
      </c>
      <c r="G33" s="16">
        <v>35</v>
      </c>
      <c r="H33" s="16">
        <v>3</v>
      </c>
    </row>
    <row r="34" spans="2:8">
      <c r="B34" s="6">
        <v>387607</v>
      </c>
      <c r="C34" s="6" t="s">
        <v>501</v>
      </c>
      <c r="D34" s="6" t="s">
        <v>502</v>
      </c>
      <c r="E34" s="18">
        <v>3</v>
      </c>
      <c r="F34" s="15">
        <v>3</v>
      </c>
      <c r="G34" s="15">
        <v>35</v>
      </c>
      <c r="H34" s="15">
        <v>3</v>
      </c>
    </row>
    <row r="35" spans="2:8">
      <c r="B35" s="8">
        <v>387609</v>
      </c>
      <c r="C35" s="8" t="s">
        <v>503</v>
      </c>
      <c r="D35" s="8" t="s">
        <v>504</v>
      </c>
      <c r="E35" s="18">
        <v>3</v>
      </c>
      <c r="F35" s="16">
        <v>3</v>
      </c>
      <c r="G35" s="16">
        <v>35</v>
      </c>
      <c r="H35" s="16">
        <v>3</v>
      </c>
    </row>
    <row r="36" spans="2:8">
      <c r="B36" s="6">
        <v>388038</v>
      </c>
      <c r="C36" s="6" t="s">
        <v>505</v>
      </c>
      <c r="D36" s="6" t="s">
        <v>506</v>
      </c>
      <c r="E36" s="18">
        <v>3</v>
      </c>
      <c r="F36" s="15">
        <v>3</v>
      </c>
      <c r="G36" s="15">
        <v>35</v>
      </c>
      <c r="H36" s="15">
        <v>3</v>
      </c>
    </row>
    <row r="37" spans="2:8">
      <c r="B37" s="8">
        <v>388040</v>
      </c>
      <c r="C37" s="8" t="s">
        <v>507</v>
      </c>
      <c r="D37" s="8" t="s">
        <v>508</v>
      </c>
      <c r="E37" s="18">
        <v>3</v>
      </c>
      <c r="F37" s="16">
        <v>3</v>
      </c>
      <c r="G37" s="16">
        <v>35</v>
      </c>
      <c r="H37" s="16">
        <v>3</v>
      </c>
    </row>
    <row r="38" spans="2:8">
      <c r="B38" s="6">
        <v>388043</v>
      </c>
      <c r="C38" s="6" t="s">
        <v>509</v>
      </c>
      <c r="D38" s="6" t="s">
        <v>510</v>
      </c>
      <c r="E38" s="18">
        <v>3</v>
      </c>
      <c r="F38" s="15">
        <v>3</v>
      </c>
      <c r="G38" s="15">
        <v>35</v>
      </c>
      <c r="H38" s="15">
        <v>3</v>
      </c>
    </row>
    <row r="39" spans="2:8">
      <c r="B39" s="8">
        <v>388044</v>
      </c>
      <c r="C39" s="8" t="s">
        <v>511</v>
      </c>
      <c r="D39" s="8" t="s">
        <v>512</v>
      </c>
      <c r="E39" s="18">
        <v>3</v>
      </c>
      <c r="F39" s="16">
        <v>3</v>
      </c>
      <c r="G39" s="16">
        <v>35</v>
      </c>
      <c r="H39" s="16">
        <v>3</v>
      </c>
    </row>
    <row r="40" spans="2:8">
      <c r="B40" s="6">
        <v>388045</v>
      </c>
      <c r="C40" s="6" t="s">
        <v>513</v>
      </c>
      <c r="D40" s="6" t="s">
        <v>514</v>
      </c>
      <c r="E40" s="18">
        <v>3</v>
      </c>
      <c r="F40" s="15">
        <v>3</v>
      </c>
      <c r="G40" s="15">
        <v>35</v>
      </c>
      <c r="H40" s="15">
        <v>3</v>
      </c>
    </row>
    <row r="41" spans="2:8">
      <c r="B41" s="8">
        <v>388046</v>
      </c>
      <c r="C41" s="8" t="s">
        <v>515</v>
      </c>
      <c r="D41" s="8" t="s">
        <v>516</v>
      </c>
      <c r="E41" s="18">
        <v>3</v>
      </c>
      <c r="F41" s="16">
        <v>3</v>
      </c>
      <c r="G41" s="16">
        <v>35</v>
      </c>
      <c r="H41" s="16">
        <v>3</v>
      </c>
    </row>
    <row r="42" spans="2:8">
      <c r="B42" s="6">
        <v>388047</v>
      </c>
      <c r="C42" s="6" t="s">
        <v>517</v>
      </c>
      <c r="D42" s="6" t="s">
        <v>518</v>
      </c>
      <c r="E42" s="18">
        <v>3</v>
      </c>
      <c r="F42" s="15">
        <v>3</v>
      </c>
      <c r="G42" s="15">
        <v>30</v>
      </c>
      <c r="H42" s="15">
        <v>3</v>
      </c>
    </row>
    <row r="43" spans="2:8">
      <c r="B43" s="8">
        <v>388049</v>
      </c>
      <c r="C43" s="8" t="s">
        <v>519</v>
      </c>
      <c r="D43" s="8" t="s">
        <v>520</v>
      </c>
      <c r="E43" s="18">
        <v>3</v>
      </c>
      <c r="F43" s="16">
        <v>3</v>
      </c>
      <c r="G43" s="16">
        <v>35</v>
      </c>
      <c r="H43" s="16">
        <v>3</v>
      </c>
    </row>
    <row r="44" spans="2:8">
      <c r="B44" s="6">
        <v>388051</v>
      </c>
      <c r="C44" s="6" t="s">
        <v>521</v>
      </c>
      <c r="D44" s="6" t="s">
        <v>522</v>
      </c>
      <c r="E44" s="18">
        <v>3</v>
      </c>
      <c r="F44" s="15">
        <v>3</v>
      </c>
      <c r="G44" s="15">
        <v>30</v>
      </c>
      <c r="H44" s="15">
        <v>3</v>
      </c>
    </row>
    <row r="45" spans="2:8">
      <c r="B45" s="8">
        <v>388054</v>
      </c>
      <c r="C45" s="8" t="s">
        <v>523</v>
      </c>
      <c r="D45" s="8" t="s">
        <v>524</v>
      </c>
      <c r="E45" s="18">
        <v>3</v>
      </c>
      <c r="F45" s="16">
        <v>3</v>
      </c>
      <c r="G45" s="16">
        <v>35</v>
      </c>
      <c r="H45" s="16">
        <v>3</v>
      </c>
    </row>
    <row r="46" spans="2:8">
      <c r="B46" s="6">
        <v>388055</v>
      </c>
      <c r="C46" s="6" t="s">
        <v>525</v>
      </c>
      <c r="D46" s="6" t="s">
        <v>526</v>
      </c>
      <c r="E46" s="18">
        <v>3</v>
      </c>
      <c r="F46" s="15">
        <v>3</v>
      </c>
      <c r="G46" s="15">
        <v>30</v>
      </c>
      <c r="H46" s="15">
        <v>3</v>
      </c>
    </row>
    <row r="47" spans="2:8">
      <c r="B47" s="8">
        <v>388056</v>
      </c>
      <c r="C47" s="8" t="s">
        <v>527</v>
      </c>
      <c r="D47" s="8" t="s">
        <v>528</v>
      </c>
      <c r="E47" s="18">
        <v>3</v>
      </c>
      <c r="F47" s="16">
        <v>3</v>
      </c>
      <c r="G47" s="16">
        <v>35</v>
      </c>
      <c r="H47" s="16">
        <v>3</v>
      </c>
    </row>
    <row r="48" spans="2:8">
      <c r="B48" s="6">
        <v>388057</v>
      </c>
      <c r="C48" s="6" t="s">
        <v>529</v>
      </c>
      <c r="D48" s="6" t="s">
        <v>530</v>
      </c>
      <c r="E48" s="18">
        <v>3</v>
      </c>
      <c r="F48" s="15">
        <v>3</v>
      </c>
      <c r="G48" s="15">
        <v>35</v>
      </c>
      <c r="H48" s="15">
        <v>3</v>
      </c>
    </row>
    <row r="49" spans="2:8">
      <c r="B49" s="8">
        <v>388060</v>
      </c>
      <c r="C49" s="8" t="s">
        <v>531</v>
      </c>
      <c r="D49" s="8" t="s">
        <v>532</v>
      </c>
      <c r="E49" s="18">
        <v>3</v>
      </c>
      <c r="F49" s="16">
        <v>3</v>
      </c>
      <c r="G49" s="16">
        <v>35</v>
      </c>
      <c r="H49" s="16">
        <v>3</v>
      </c>
    </row>
    <row r="50" spans="2:8">
      <c r="B50" s="6">
        <v>388061</v>
      </c>
      <c r="C50" s="6" t="s">
        <v>533</v>
      </c>
      <c r="D50" s="6" t="s">
        <v>534</v>
      </c>
      <c r="E50" s="18">
        <v>3</v>
      </c>
      <c r="F50" s="15">
        <v>3</v>
      </c>
      <c r="G50" s="15">
        <v>35</v>
      </c>
      <c r="H50" s="15">
        <v>3</v>
      </c>
    </row>
    <row r="51" spans="2:8">
      <c r="B51" s="8">
        <v>388279</v>
      </c>
      <c r="C51" s="8" t="s">
        <v>535</v>
      </c>
      <c r="D51" s="8" t="s">
        <v>536</v>
      </c>
      <c r="E51" s="18">
        <v>3</v>
      </c>
      <c r="F51" s="16">
        <v>3</v>
      </c>
      <c r="G51" s="16">
        <v>35</v>
      </c>
      <c r="H51" s="16">
        <v>3</v>
      </c>
    </row>
    <row r="52" spans="2:8">
      <c r="B52" s="6">
        <v>388281</v>
      </c>
      <c r="C52" s="6" t="s">
        <v>537</v>
      </c>
      <c r="D52" s="6" t="s">
        <v>538</v>
      </c>
      <c r="E52" s="18">
        <v>3</v>
      </c>
      <c r="F52" s="15">
        <v>3</v>
      </c>
      <c r="G52" s="15">
        <v>30</v>
      </c>
      <c r="H52" s="15">
        <v>3</v>
      </c>
    </row>
    <row r="53" spans="2:8">
      <c r="B53" s="8">
        <v>388283</v>
      </c>
      <c r="C53" s="8" t="s">
        <v>539</v>
      </c>
      <c r="D53" s="8" t="s">
        <v>540</v>
      </c>
      <c r="E53" s="18">
        <v>3</v>
      </c>
      <c r="F53" s="16">
        <v>3</v>
      </c>
      <c r="G53" s="16">
        <v>35</v>
      </c>
      <c r="H53" s="16">
        <v>3</v>
      </c>
    </row>
    <row r="54" spans="2:8">
      <c r="B54" s="6">
        <v>388284</v>
      </c>
      <c r="C54" s="6" t="s">
        <v>541</v>
      </c>
      <c r="D54" s="6" t="s">
        <v>542</v>
      </c>
      <c r="E54" s="18">
        <v>3</v>
      </c>
      <c r="F54" s="15">
        <v>3</v>
      </c>
      <c r="G54" s="15">
        <v>30</v>
      </c>
      <c r="H54" s="15">
        <v>3</v>
      </c>
    </row>
    <row r="55" spans="2:8">
      <c r="B55" s="8">
        <v>388285</v>
      </c>
      <c r="C55" s="8" t="s">
        <v>543</v>
      </c>
      <c r="D55" s="8" t="s">
        <v>544</v>
      </c>
      <c r="E55" s="18">
        <v>3</v>
      </c>
      <c r="F55" s="16">
        <v>3</v>
      </c>
      <c r="G55" s="16">
        <v>35</v>
      </c>
      <c r="H55" s="16">
        <v>3</v>
      </c>
    </row>
    <row r="56" spans="2:8">
      <c r="B56" s="6">
        <v>388286</v>
      </c>
      <c r="C56" s="6" t="s">
        <v>545</v>
      </c>
      <c r="D56" s="6" t="s">
        <v>546</v>
      </c>
      <c r="E56" s="18">
        <v>3</v>
      </c>
      <c r="F56" s="15">
        <v>3</v>
      </c>
      <c r="G56" s="15">
        <v>30</v>
      </c>
      <c r="H56" s="15">
        <v>3</v>
      </c>
    </row>
    <row r="57" spans="2:8">
      <c r="B57" s="8">
        <v>388288</v>
      </c>
      <c r="C57" s="8" t="s">
        <v>547</v>
      </c>
      <c r="D57" s="8" t="s">
        <v>548</v>
      </c>
      <c r="E57" s="18">
        <v>3</v>
      </c>
      <c r="F57" s="16">
        <v>3</v>
      </c>
      <c r="G57" s="16">
        <v>30</v>
      </c>
      <c r="H57" s="16">
        <v>3</v>
      </c>
    </row>
    <row r="58" spans="2:8">
      <c r="B58" s="6">
        <v>388292</v>
      </c>
      <c r="C58" s="6" t="s">
        <v>549</v>
      </c>
      <c r="D58" s="6" t="s">
        <v>550</v>
      </c>
      <c r="E58" s="18">
        <v>3</v>
      </c>
      <c r="F58" s="15">
        <v>3</v>
      </c>
      <c r="G58" s="15">
        <v>30</v>
      </c>
      <c r="H58" s="15">
        <v>3</v>
      </c>
    </row>
    <row r="59" spans="2:8">
      <c r="B59" s="8">
        <v>388293</v>
      </c>
      <c r="C59" s="8" t="s">
        <v>551</v>
      </c>
      <c r="D59" s="8" t="s">
        <v>552</v>
      </c>
      <c r="E59" s="18">
        <v>3</v>
      </c>
      <c r="F59" s="16">
        <v>3</v>
      </c>
      <c r="G59" s="16">
        <v>30</v>
      </c>
      <c r="H59" s="16">
        <v>3</v>
      </c>
    </row>
    <row r="60" spans="2:8">
      <c r="B60" s="6">
        <v>388296</v>
      </c>
      <c r="C60" s="6" t="s">
        <v>553</v>
      </c>
      <c r="D60" s="6" t="s">
        <v>554</v>
      </c>
      <c r="E60" s="18">
        <v>3</v>
      </c>
      <c r="F60" s="15">
        <v>3</v>
      </c>
      <c r="G60" s="15">
        <v>35</v>
      </c>
      <c r="H60" s="15">
        <v>3</v>
      </c>
    </row>
    <row r="61" spans="2:8">
      <c r="B61" s="8">
        <v>387313</v>
      </c>
      <c r="C61" s="8" t="s">
        <v>555</v>
      </c>
      <c r="D61" s="8" t="s">
        <v>556</v>
      </c>
      <c r="E61" s="19">
        <v>2</v>
      </c>
      <c r="F61" s="16">
        <v>2</v>
      </c>
      <c r="G61" s="16">
        <v>30</v>
      </c>
      <c r="H61" s="16">
        <v>3</v>
      </c>
    </row>
    <row r="62" spans="2:8">
      <c r="B62" s="6">
        <v>387319</v>
      </c>
      <c r="C62" s="6" t="s">
        <v>557</v>
      </c>
      <c r="D62" s="6" t="s">
        <v>558</v>
      </c>
      <c r="E62" s="19">
        <v>2</v>
      </c>
      <c r="F62" s="15">
        <v>2</v>
      </c>
      <c r="G62" s="15">
        <v>30</v>
      </c>
      <c r="H62" s="15">
        <v>3</v>
      </c>
    </row>
    <row r="63" spans="2:8">
      <c r="B63" s="8">
        <v>388039</v>
      </c>
      <c r="C63" s="8" t="s">
        <v>559</v>
      </c>
      <c r="D63" s="8" t="s">
        <v>560</v>
      </c>
      <c r="E63" s="19">
        <v>2</v>
      </c>
      <c r="F63" s="16">
        <v>2</v>
      </c>
      <c r="G63" s="16">
        <v>20</v>
      </c>
      <c r="H63" s="16">
        <v>3</v>
      </c>
    </row>
    <row r="64" spans="2:8">
      <c r="B64" s="6">
        <v>388052</v>
      </c>
      <c r="C64" s="6" t="s">
        <v>561</v>
      </c>
      <c r="D64" s="6" t="s">
        <v>562</v>
      </c>
      <c r="E64" s="19">
        <v>2</v>
      </c>
      <c r="F64" s="15">
        <v>2</v>
      </c>
      <c r="G64" s="15">
        <v>30</v>
      </c>
      <c r="H64" s="15">
        <v>3</v>
      </c>
    </row>
    <row r="65" spans="2:8">
      <c r="B65" s="8">
        <v>388059</v>
      </c>
      <c r="C65" s="8" t="s">
        <v>563</v>
      </c>
      <c r="D65" s="8" t="s">
        <v>564</v>
      </c>
      <c r="E65" s="19">
        <v>2</v>
      </c>
      <c r="F65" s="16">
        <v>2</v>
      </c>
      <c r="G65" s="16">
        <v>30</v>
      </c>
      <c r="H65" s="16"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25"/>
  <sheetViews>
    <sheetView showGridLines="0" zoomScaleNormal="100" workbookViewId="0">
      <pane xSplit="1" ySplit="5" topLeftCell="B6" activePane="bottomRight" state="frozen"/>
      <selection pane="bottomRight"/>
      <selection pane="bottomLeft" activeCell="A6" sqref="A6"/>
      <selection pane="topRight" activeCell="B1" sqref="B1"/>
    </sheetView>
  </sheetViews>
  <sheetFormatPr defaultColWidth="8.7109375" defaultRowHeight="15"/>
  <cols>
    <col min="1" max="1" width="3" customWidth="1"/>
    <col min="2" max="2" width="8" customWidth="1"/>
    <col min="3" max="3" width="55" customWidth="1"/>
    <col min="4" max="4" width="30" customWidth="1"/>
    <col min="5" max="5" width="10" customWidth="1"/>
    <col min="6" max="6" width="12" customWidth="1"/>
    <col min="7" max="7" width="8" customWidth="1"/>
    <col min="8" max="8" width="14" customWidth="1"/>
  </cols>
  <sheetData>
    <row r="2" spans="2:8" ht="17.45">
      <c r="B2" s="1" t="s">
        <v>11</v>
      </c>
    </row>
    <row r="3" spans="2:8">
      <c r="B3" s="2" t="s">
        <v>565</v>
      </c>
    </row>
    <row r="5" spans="2:8" ht="26.85">
      <c r="B5" s="5" t="s">
        <v>33</v>
      </c>
      <c r="C5" s="5" t="s">
        <v>34</v>
      </c>
      <c r="D5" s="5" t="s">
        <v>35</v>
      </c>
      <c r="E5" s="5" t="s">
        <v>36</v>
      </c>
      <c r="F5" s="5" t="s">
        <v>37</v>
      </c>
      <c r="G5" s="5" t="s">
        <v>38</v>
      </c>
      <c r="H5" s="5" t="s">
        <v>39</v>
      </c>
    </row>
    <row r="6" spans="2:8">
      <c r="B6" s="6">
        <v>20463</v>
      </c>
      <c r="C6" s="6" t="s">
        <v>566</v>
      </c>
      <c r="D6" s="6" t="s">
        <v>567</v>
      </c>
      <c r="E6" s="14">
        <v>5</v>
      </c>
      <c r="F6" s="15">
        <v>5</v>
      </c>
      <c r="G6" s="15">
        <v>65</v>
      </c>
      <c r="H6" s="15">
        <v>8</v>
      </c>
    </row>
    <row r="7" spans="2:8">
      <c r="B7" s="8">
        <v>20266</v>
      </c>
      <c r="C7" s="8" t="s">
        <v>568</v>
      </c>
      <c r="D7" s="8" t="s">
        <v>569</v>
      </c>
      <c r="E7" s="17">
        <v>4</v>
      </c>
      <c r="F7" s="16">
        <v>4</v>
      </c>
      <c r="G7" s="16">
        <v>75</v>
      </c>
      <c r="H7" s="16">
        <v>8</v>
      </c>
    </row>
    <row r="8" spans="2:8">
      <c r="B8" s="6">
        <v>20398</v>
      </c>
      <c r="C8" s="6" t="s">
        <v>570</v>
      </c>
      <c r="D8" s="6" t="s">
        <v>571</v>
      </c>
      <c r="E8" s="17">
        <v>4</v>
      </c>
      <c r="F8" s="15">
        <v>4</v>
      </c>
      <c r="G8" s="15">
        <v>35</v>
      </c>
      <c r="H8" s="15">
        <v>8</v>
      </c>
    </row>
    <row r="9" spans="2:8">
      <c r="B9" s="8">
        <v>20437</v>
      </c>
      <c r="C9" s="8" t="s">
        <v>572</v>
      </c>
      <c r="D9" s="8" t="s">
        <v>573</v>
      </c>
      <c r="E9" s="17">
        <v>4</v>
      </c>
      <c r="F9" s="16">
        <v>4</v>
      </c>
      <c r="G9" s="16">
        <v>30</v>
      </c>
      <c r="H9" s="16">
        <v>8</v>
      </c>
    </row>
    <row r="10" spans="2:8">
      <c r="B10" s="6">
        <v>20449</v>
      </c>
      <c r="C10" s="6" t="s">
        <v>574</v>
      </c>
      <c r="D10" s="6" t="s">
        <v>575</v>
      </c>
      <c r="E10" s="17">
        <v>4</v>
      </c>
      <c r="F10" s="15">
        <v>4</v>
      </c>
      <c r="G10" s="15">
        <v>72</v>
      </c>
      <c r="H10" s="15">
        <v>8</v>
      </c>
    </row>
    <row r="11" spans="2:8">
      <c r="B11" s="8">
        <v>20490</v>
      </c>
      <c r="C11" s="8" t="s">
        <v>576</v>
      </c>
      <c r="D11" s="8" t="s">
        <v>577</v>
      </c>
      <c r="E11" s="17">
        <v>4</v>
      </c>
      <c r="F11" s="16">
        <v>4</v>
      </c>
      <c r="G11" s="16">
        <v>42</v>
      </c>
      <c r="H11" s="16">
        <v>8</v>
      </c>
    </row>
    <row r="12" spans="2:8">
      <c r="B12" s="6">
        <v>20513</v>
      </c>
      <c r="C12" s="6" t="s">
        <v>578</v>
      </c>
      <c r="D12" s="6" t="s">
        <v>579</v>
      </c>
      <c r="E12" s="17">
        <v>4</v>
      </c>
      <c r="F12" s="15">
        <v>4</v>
      </c>
      <c r="G12" s="15">
        <v>30</v>
      </c>
      <c r="H12" s="15">
        <v>8</v>
      </c>
    </row>
    <row r="13" spans="2:8">
      <c r="B13" s="8">
        <v>20530</v>
      </c>
      <c r="C13" s="8" t="s">
        <v>580</v>
      </c>
      <c r="D13" s="8" t="s">
        <v>581</v>
      </c>
      <c r="E13" s="17">
        <v>4</v>
      </c>
      <c r="F13" s="16">
        <v>4</v>
      </c>
      <c r="G13" s="16">
        <v>75</v>
      </c>
      <c r="H13" s="16">
        <v>8</v>
      </c>
    </row>
    <row r="14" spans="2:8">
      <c r="B14" s="6">
        <v>20573</v>
      </c>
      <c r="C14" s="6" t="s">
        <v>582</v>
      </c>
      <c r="D14" s="6" t="s">
        <v>583</v>
      </c>
      <c r="E14" s="17">
        <v>4</v>
      </c>
      <c r="F14" s="15">
        <v>4</v>
      </c>
      <c r="G14" s="15">
        <v>42</v>
      </c>
      <c r="H14" s="15">
        <v>8</v>
      </c>
    </row>
    <row r="15" spans="2:8">
      <c r="B15" s="8">
        <v>20256</v>
      </c>
      <c r="C15" s="8" t="s">
        <v>584</v>
      </c>
      <c r="D15" s="8" t="s">
        <v>585</v>
      </c>
      <c r="E15" s="18">
        <v>3</v>
      </c>
      <c r="F15" s="16">
        <v>3</v>
      </c>
      <c r="G15" s="16">
        <v>75</v>
      </c>
      <c r="H15" s="16">
        <v>8</v>
      </c>
    </row>
    <row r="16" spans="2:8">
      <c r="B16" s="6">
        <v>20273</v>
      </c>
      <c r="C16" s="6" t="s">
        <v>586</v>
      </c>
      <c r="D16" s="6" t="s">
        <v>587</v>
      </c>
      <c r="E16" s="18">
        <v>3</v>
      </c>
      <c r="F16" s="15">
        <v>3</v>
      </c>
      <c r="G16" s="15">
        <v>95</v>
      </c>
      <c r="H16" s="15">
        <v>8</v>
      </c>
    </row>
    <row r="17" spans="2:8">
      <c r="B17" s="8">
        <v>20316</v>
      </c>
      <c r="C17" s="8" t="s">
        <v>588</v>
      </c>
      <c r="D17" s="8" t="s">
        <v>589</v>
      </c>
      <c r="E17" s="18">
        <v>3</v>
      </c>
      <c r="F17" s="16">
        <v>3</v>
      </c>
      <c r="G17" s="16">
        <v>72</v>
      </c>
      <c r="H17" s="16">
        <v>8</v>
      </c>
    </row>
    <row r="18" spans="2:8">
      <c r="B18" s="6">
        <v>20344</v>
      </c>
      <c r="C18" s="6" t="s">
        <v>590</v>
      </c>
      <c r="D18" s="6" t="s">
        <v>591</v>
      </c>
      <c r="E18" s="18">
        <v>3</v>
      </c>
      <c r="F18" s="15">
        <v>3</v>
      </c>
      <c r="G18" s="15">
        <v>72</v>
      </c>
      <c r="H18" s="15">
        <v>8</v>
      </c>
    </row>
    <row r="19" spans="2:8">
      <c r="B19" s="8">
        <v>20357</v>
      </c>
      <c r="C19" s="8" t="s">
        <v>592</v>
      </c>
      <c r="D19" s="8" t="s">
        <v>593</v>
      </c>
      <c r="E19" s="18">
        <v>3</v>
      </c>
      <c r="F19" s="16">
        <v>3</v>
      </c>
      <c r="G19" s="16">
        <v>30</v>
      </c>
      <c r="H19" s="16">
        <v>8</v>
      </c>
    </row>
    <row r="20" spans="2:8">
      <c r="B20" s="6">
        <v>20369</v>
      </c>
      <c r="C20" s="6" t="s">
        <v>594</v>
      </c>
      <c r="D20" s="6" t="s">
        <v>595</v>
      </c>
      <c r="E20" s="18">
        <v>3</v>
      </c>
      <c r="F20" s="15">
        <v>3</v>
      </c>
      <c r="G20" s="15">
        <v>95</v>
      </c>
      <c r="H20" s="15">
        <v>8</v>
      </c>
    </row>
    <row r="21" spans="2:8">
      <c r="B21" s="8">
        <v>20417</v>
      </c>
      <c r="C21" s="8" t="s">
        <v>596</v>
      </c>
      <c r="D21" s="8" t="s">
        <v>597</v>
      </c>
      <c r="E21" s="18">
        <v>3</v>
      </c>
      <c r="F21" s="16">
        <v>3</v>
      </c>
      <c r="G21" s="16">
        <v>37</v>
      </c>
      <c r="H21" s="16">
        <v>8</v>
      </c>
    </row>
    <row r="22" spans="2:8">
      <c r="B22" s="6">
        <v>20462</v>
      </c>
      <c r="C22" s="6" t="s">
        <v>598</v>
      </c>
      <c r="D22" s="6" t="s">
        <v>599</v>
      </c>
      <c r="E22" s="18">
        <v>3</v>
      </c>
      <c r="F22" s="15">
        <v>3</v>
      </c>
      <c r="G22" s="15">
        <v>30</v>
      </c>
      <c r="H22" s="15">
        <v>8</v>
      </c>
    </row>
    <row r="23" spans="2:8">
      <c r="B23" s="8">
        <v>20464</v>
      </c>
      <c r="C23" s="8" t="s">
        <v>600</v>
      </c>
      <c r="D23" s="8" t="s">
        <v>601</v>
      </c>
      <c r="E23" s="18">
        <v>3</v>
      </c>
      <c r="F23" s="16">
        <v>3</v>
      </c>
      <c r="G23" s="16">
        <v>30</v>
      </c>
      <c r="H23" s="16">
        <v>8</v>
      </c>
    </row>
    <row r="24" spans="2:8">
      <c r="B24" s="6">
        <v>20465</v>
      </c>
      <c r="C24" s="6" t="s">
        <v>602</v>
      </c>
      <c r="D24" s="6" t="s">
        <v>603</v>
      </c>
      <c r="E24" s="18">
        <v>3</v>
      </c>
      <c r="F24" s="15">
        <v>3</v>
      </c>
      <c r="G24" s="15">
        <v>36</v>
      </c>
      <c r="H24" s="15">
        <v>8</v>
      </c>
    </row>
    <row r="25" spans="2:8">
      <c r="B25" s="8">
        <v>20473</v>
      </c>
      <c r="C25" s="8" t="s">
        <v>604</v>
      </c>
      <c r="D25" s="8" t="s">
        <v>605</v>
      </c>
      <c r="E25" s="18">
        <v>3</v>
      </c>
      <c r="F25" s="16">
        <v>3</v>
      </c>
      <c r="G25" s="16">
        <v>30</v>
      </c>
      <c r="H25" s="16"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13"/>
  <sheetViews>
    <sheetView showGridLines="0" zoomScaleNormal="100" workbookViewId="0">
      <pane xSplit="1" ySplit="5" topLeftCell="B6" activePane="bottomRight" state="frozen"/>
      <selection pane="bottomRight"/>
      <selection pane="bottomLeft" activeCell="A6" sqref="A6"/>
      <selection pane="topRight" activeCell="B1" sqref="B1"/>
    </sheetView>
  </sheetViews>
  <sheetFormatPr defaultColWidth="8.7109375" defaultRowHeight="15"/>
  <cols>
    <col min="1" max="1" width="3" customWidth="1"/>
    <col min="2" max="2" width="8" customWidth="1"/>
    <col min="3" max="3" width="55" customWidth="1"/>
    <col min="4" max="4" width="30" customWidth="1"/>
    <col min="5" max="5" width="10" customWidth="1"/>
    <col min="6" max="6" width="12" customWidth="1"/>
    <col min="7" max="7" width="8" customWidth="1"/>
    <col min="8" max="8" width="14" customWidth="1"/>
  </cols>
  <sheetData>
    <row r="2" spans="2:8" ht="17.45">
      <c r="B2" s="1" t="s">
        <v>12</v>
      </c>
    </row>
    <row r="3" spans="2:8">
      <c r="B3" s="2" t="s">
        <v>606</v>
      </c>
    </row>
    <row r="5" spans="2:8" ht="26.85">
      <c r="B5" s="5" t="s">
        <v>33</v>
      </c>
      <c r="C5" s="5" t="s">
        <v>34</v>
      </c>
      <c r="D5" s="5" t="s">
        <v>35</v>
      </c>
      <c r="E5" s="5" t="s">
        <v>36</v>
      </c>
      <c r="F5" s="5" t="s">
        <v>37</v>
      </c>
      <c r="G5" s="5" t="s">
        <v>38</v>
      </c>
      <c r="H5" s="5" t="s">
        <v>39</v>
      </c>
    </row>
    <row r="6" spans="2:8">
      <c r="B6" s="6">
        <v>105228</v>
      </c>
      <c r="C6" s="6" t="s">
        <v>607</v>
      </c>
      <c r="D6" s="6"/>
      <c r="E6" s="18">
        <v>3</v>
      </c>
      <c r="F6" s="15">
        <v>3</v>
      </c>
      <c r="G6" s="15">
        <v>25</v>
      </c>
      <c r="H6" s="15">
        <v>2</v>
      </c>
    </row>
    <row r="7" spans="2:8">
      <c r="B7" s="8">
        <v>90126</v>
      </c>
      <c r="C7" s="8" t="s">
        <v>608</v>
      </c>
      <c r="D7" s="8"/>
      <c r="E7" s="18">
        <v>3</v>
      </c>
      <c r="F7" s="16">
        <v>3</v>
      </c>
      <c r="G7" s="16">
        <v>55</v>
      </c>
      <c r="H7" s="16">
        <v>1</v>
      </c>
    </row>
    <row r="8" spans="2:8">
      <c r="B8" s="6">
        <v>105484</v>
      </c>
      <c r="C8" s="6" t="s">
        <v>609</v>
      </c>
      <c r="D8" s="6"/>
      <c r="E8" s="18">
        <v>3</v>
      </c>
      <c r="F8" s="15">
        <v>3</v>
      </c>
      <c r="G8" s="15">
        <v>95</v>
      </c>
      <c r="H8" s="15">
        <v>1</v>
      </c>
    </row>
    <row r="9" spans="2:8">
      <c r="B9" s="8">
        <v>90007</v>
      </c>
      <c r="C9" s="8" t="s">
        <v>610</v>
      </c>
      <c r="D9" s="8"/>
      <c r="E9" s="19">
        <v>2</v>
      </c>
      <c r="F9" s="16">
        <v>2</v>
      </c>
      <c r="G9" s="16">
        <v>50</v>
      </c>
      <c r="H9" s="16">
        <v>62</v>
      </c>
    </row>
    <row r="10" spans="2:8">
      <c r="B10" s="6">
        <v>105234</v>
      </c>
      <c r="C10" s="6" t="s">
        <v>611</v>
      </c>
      <c r="D10" s="6"/>
      <c r="E10" s="19">
        <v>2</v>
      </c>
      <c r="F10" s="15">
        <v>2</v>
      </c>
      <c r="G10" s="15">
        <v>40</v>
      </c>
      <c r="H10" s="15">
        <v>47</v>
      </c>
    </row>
    <row r="11" spans="2:8">
      <c r="B11" s="8">
        <v>91564</v>
      </c>
      <c r="C11" s="8" t="s">
        <v>612</v>
      </c>
      <c r="D11" s="8"/>
      <c r="E11" s="19">
        <v>2</v>
      </c>
      <c r="F11" s="16">
        <v>2</v>
      </c>
      <c r="G11" s="16">
        <v>50</v>
      </c>
      <c r="H11" s="16">
        <v>5</v>
      </c>
    </row>
    <row r="12" spans="2:8">
      <c r="B12" s="6">
        <v>91565</v>
      </c>
      <c r="C12" s="6" t="s">
        <v>613</v>
      </c>
      <c r="D12" s="6"/>
      <c r="E12" s="19">
        <v>2</v>
      </c>
      <c r="F12" s="15">
        <v>2</v>
      </c>
      <c r="G12" s="15">
        <v>50</v>
      </c>
      <c r="H12" s="15">
        <v>4</v>
      </c>
    </row>
    <row r="13" spans="2:8">
      <c r="B13" s="8">
        <v>105146</v>
      </c>
      <c r="C13" s="8" t="s">
        <v>614</v>
      </c>
      <c r="D13" s="8"/>
      <c r="E13" s="20">
        <v>1</v>
      </c>
      <c r="F13" s="16">
        <v>1</v>
      </c>
      <c r="G13" s="16">
        <v>40</v>
      </c>
      <c r="H13" s="16"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H6"/>
  <sheetViews>
    <sheetView showGridLines="0" zoomScaleNormal="100" workbookViewId="0">
      <pane xSplit="1" ySplit="5" topLeftCell="B6" activePane="bottomRight" state="frozen"/>
      <selection pane="bottomRight"/>
      <selection pane="bottomLeft" activeCell="A6" sqref="A6"/>
      <selection pane="topRight" activeCell="B1" sqref="B1"/>
    </sheetView>
  </sheetViews>
  <sheetFormatPr defaultColWidth="8.7109375" defaultRowHeight="15"/>
  <cols>
    <col min="1" max="1" width="3" customWidth="1"/>
    <col min="2" max="2" width="8" customWidth="1"/>
    <col min="3" max="3" width="55" customWidth="1"/>
    <col min="4" max="4" width="30" customWidth="1"/>
    <col min="5" max="5" width="10" customWidth="1"/>
    <col min="6" max="6" width="12" customWidth="1"/>
    <col min="7" max="7" width="8" customWidth="1"/>
    <col min="8" max="8" width="14" customWidth="1"/>
  </cols>
  <sheetData>
    <row r="2" spans="2:8" ht="17.45">
      <c r="B2" s="1" t="s">
        <v>13</v>
      </c>
    </row>
    <row r="3" spans="2:8">
      <c r="B3" s="2" t="s">
        <v>615</v>
      </c>
    </row>
    <row r="5" spans="2:8" ht="26.85">
      <c r="B5" s="5" t="s">
        <v>33</v>
      </c>
      <c r="C5" s="5" t="s">
        <v>34</v>
      </c>
      <c r="D5" s="5" t="s">
        <v>35</v>
      </c>
      <c r="E5" s="5" t="s">
        <v>36</v>
      </c>
      <c r="F5" s="5" t="s">
        <v>37</v>
      </c>
      <c r="G5" s="5" t="s">
        <v>38</v>
      </c>
      <c r="H5" s="5" t="s">
        <v>39</v>
      </c>
    </row>
    <row r="6" spans="2:8">
      <c r="B6" s="6">
        <v>387752</v>
      </c>
      <c r="C6" s="6" t="s">
        <v>616</v>
      </c>
      <c r="D6" s="6" t="s">
        <v>617</v>
      </c>
      <c r="E6" s="19">
        <v>2</v>
      </c>
      <c r="F6" s="15">
        <v>2</v>
      </c>
      <c r="G6" s="15">
        <v>37</v>
      </c>
      <c r="H6" s="15">
        <v>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H27"/>
  <sheetViews>
    <sheetView showGridLines="0" zoomScaleNormal="100" workbookViewId="0">
      <pane xSplit="1" ySplit="5" topLeftCell="B6" activePane="bottomRight" state="frozen"/>
      <selection pane="bottomRight"/>
      <selection pane="bottomLeft" activeCell="A6" sqref="A6"/>
      <selection pane="topRight" activeCell="B1" sqref="B1"/>
    </sheetView>
  </sheetViews>
  <sheetFormatPr defaultColWidth="8.7109375" defaultRowHeight="15"/>
  <cols>
    <col min="1" max="1" width="3" customWidth="1"/>
    <col min="2" max="2" width="8" customWidth="1"/>
    <col min="3" max="3" width="55" customWidth="1"/>
    <col min="4" max="4" width="30" customWidth="1"/>
    <col min="5" max="5" width="10" customWidth="1"/>
    <col min="6" max="6" width="12" customWidth="1"/>
    <col min="7" max="7" width="8" customWidth="1"/>
    <col min="8" max="8" width="14" customWidth="1"/>
  </cols>
  <sheetData>
    <row r="2" spans="2:8" ht="17.45">
      <c r="B2" s="1" t="s">
        <v>14</v>
      </c>
    </row>
    <row r="3" spans="2:8">
      <c r="B3" s="2" t="s">
        <v>618</v>
      </c>
    </row>
    <row r="5" spans="2:8" ht="26.85">
      <c r="B5" s="5" t="s">
        <v>33</v>
      </c>
      <c r="C5" s="5" t="s">
        <v>34</v>
      </c>
      <c r="D5" s="5" t="s">
        <v>35</v>
      </c>
      <c r="E5" s="5" t="s">
        <v>36</v>
      </c>
      <c r="F5" s="5" t="s">
        <v>37</v>
      </c>
      <c r="G5" s="5" t="s">
        <v>38</v>
      </c>
      <c r="H5" s="5" t="s">
        <v>39</v>
      </c>
    </row>
    <row r="6" spans="2:8">
      <c r="B6" s="6">
        <v>386065</v>
      </c>
      <c r="C6" s="6" t="s">
        <v>619</v>
      </c>
      <c r="D6" s="6" t="s">
        <v>620</v>
      </c>
      <c r="E6" s="14">
        <v>5</v>
      </c>
      <c r="F6" s="15">
        <v>5</v>
      </c>
      <c r="G6" s="15">
        <v>65</v>
      </c>
      <c r="H6" s="15">
        <v>1</v>
      </c>
    </row>
    <row r="7" spans="2:8">
      <c r="B7" s="8">
        <v>386314</v>
      </c>
      <c r="C7" s="8" t="s">
        <v>621</v>
      </c>
      <c r="D7" s="8" t="s">
        <v>622</v>
      </c>
      <c r="E7" s="14">
        <v>5</v>
      </c>
      <c r="F7" s="16">
        <v>5</v>
      </c>
      <c r="G7" s="16">
        <v>65</v>
      </c>
      <c r="H7" s="16">
        <v>1</v>
      </c>
    </row>
    <row r="8" spans="2:8">
      <c r="B8" s="6">
        <v>386691</v>
      </c>
      <c r="C8" s="6" t="s">
        <v>623</v>
      </c>
      <c r="D8" s="6" t="s">
        <v>624</v>
      </c>
      <c r="E8" s="14">
        <v>5</v>
      </c>
      <c r="F8" s="15">
        <v>5</v>
      </c>
      <c r="G8" s="15">
        <v>72</v>
      </c>
      <c r="H8" s="15">
        <v>1</v>
      </c>
    </row>
    <row r="9" spans="2:8">
      <c r="B9" s="8">
        <v>386759</v>
      </c>
      <c r="C9" s="8" t="s">
        <v>625</v>
      </c>
      <c r="D9" s="8" t="s">
        <v>626</v>
      </c>
      <c r="E9" s="14">
        <v>5</v>
      </c>
      <c r="F9" s="16">
        <v>5</v>
      </c>
      <c r="G9" s="16">
        <v>35</v>
      </c>
      <c r="H9" s="16">
        <v>1</v>
      </c>
    </row>
    <row r="10" spans="2:8">
      <c r="B10" s="6">
        <v>386887</v>
      </c>
      <c r="C10" s="6" t="s">
        <v>627</v>
      </c>
      <c r="D10" s="6" t="s">
        <v>628</v>
      </c>
      <c r="E10" s="14">
        <v>5</v>
      </c>
      <c r="F10" s="15">
        <v>5</v>
      </c>
      <c r="G10" s="15">
        <v>72</v>
      </c>
      <c r="H10" s="15">
        <v>1</v>
      </c>
    </row>
    <row r="11" spans="2:8">
      <c r="B11" s="8">
        <v>386979</v>
      </c>
      <c r="C11" s="8" t="s">
        <v>629</v>
      </c>
      <c r="D11" s="8" t="s">
        <v>630</v>
      </c>
      <c r="E11" s="14">
        <v>5</v>
      </c>
      <c r="F11" s="16">
        <v>5</v>
      </c>
      <c r="G11" s="16">
        <v>65</v>
      </c>
      <c r="H11" s="16">
        <v>1</v>
      </c>
    </row>
    <row r="12" spans="2:8">
      <c r="B12" s="6">
        <v>387108</v>
      </c>
      <c r="C12" s="6" t="s">
        <v>631</v>
      </c>
      <c r="D12" s="6" t="s">
        <v>632</v>
      </c>
      <c r="E12" s="14">
        <v>5</v>
      </c>
      <c r="F12" s="15">
        <v>5</v>
      </c>
      <c r="G12" s="15">
        <v>65</v>
      </c>
      <c r="H12" s="15">
        <v>1</v>
      </c>
    </row>
    <row r="13" spans="2:8">
      <c r="B13" s="8">
        <v>387430</v>
      </c>
      <c r="C13" s="8" t="s">
        <v>633</v>
      </c>
      <c r="D13" s="8" t="s">
        <v>634</v>
      </c>
      <c r="E13" s="14">
        <v>5</v>
      </c>
      <c r="F13" s="16">
        <v>5</v>
      </c>
      <c r="G13" s="16">
        <v>65</v>
      </c>
      <c r="H13" s="16">
        <v>1</v>
      </c>
    </row>
    <row r="14" spans="2:8">
      <c r="B14" s="6">
        <v>387757</v>
      </c>
      <c r="C14" s="6" t="s">
        <v>635</v>
      </c>
      <c r="D14" s="6" t="s">
        <v>636</v>
      </c>
      <c r="E14" s="14">
        <v>5</v>
      </c>
      <c r="F14" s="15">
        <v>5</v>
      </c>
      <c r="G14" s="15">
        <v>65</v>
      </c>
      <c r="H14" s="15">
        <v>1</v>
      </c>
    </row>
    <row r="15" spans="2:8">
      <c r="B15" s="8">
        <v>387942</v>
      </c>
      <c r="C15" s="8" t="s">
        <v>637</v>
      </c>
      <c r="D15" s="8" t="s">
        <v>638</v>
      </c>
      <c r="E15" s="14">
        <v>5</v>
      </c>
      <c r="F15" s="16">
        <v>5</v>
      </c>
      <c r="G15" s="16">
        <v>65</v>
      </c>
      <c r="H15" s="16">
        <v>1</v>
      </c>
    </row>
    <row r="16" spans="2:8">
      <c r="B16" s="6">
        <v>388376</v>
      </c>
      <c r="C16" s="6" t="s">
        <v>639</v>
      </c>
      <c r="D16" s="6" t="s">
        <v>640</v>
      </c>
      <c r="E16" s="14">
        <v>5</v>
      </c>
      <c r="F16" s="15">
        <v>5</v>
      </c>
      <c r="G16" s="15">
        <v>72</v>
      </c>
      <c r="H16" s="15">
        <v>1</v>
      </c>
    </row>
    <row r="17" spans="2:8">
      <c r="B17" s="8">
        <v>388592</v>
      </c>
      <c r="C17" s="8" t="s">
        <v>641</v>
      </c>
      <c r="D17" s="8" t="s">
        <v>642</v>
      </c>
      <c r="E17" s="14">
        <v>5</v>
      </c>
      <c r="F17" s="16">
        <v>5</v>
      </c>
      <c r="G17" s="16">
        <v>65</v>
      </c>
      <c r="H17" s="16">
        <v>1</v>
      </c>
    </row>
    <row r="18" spans="2:8">
      <c r="B18" s="6">
        <v>386189</v>
      </c>
      <c r="C18" s="6" t="s">
        <v>643</v>
      </c>
      <c r="D18" s="6" t="s">
        <v>644</v>
      </c>
      <c r="E18" s="17">
        <v>4</v>
      </c>
      <c r="F18" s="15">
        <v>4</v>
      </c>
      <c r="G18" s="15">
        <v>71</v>
      </c>
      <c r="H18" s="15">
        <v>1</v>
      </c>
    </row>
    <row r="19" spans="2:8">
      <c r="B19" s="8">
        <v>386246</v>
      </c>
      <c r="C19" s="8" t="s">
        <v>645</v>
      </c>
      <c r="D19" s="8" t="s">
        <v>646</v>
      </c>
      <c r="E19" s="17">
        <v>4</v>
      </c>
      <c r="F19" s="16">
        <v>4</v>
      </c>
      <c r="G19" s="16">
        <v>65</v>
      </c>
      <c r="H19" s="16">
        <v>1</v>
      </c>
    </row>
    <row r="20" spans="2:8">
      <c r="B20" s="6">
        <v>386421</v>
      </c>
      <c r="C20" s="6" t="s">
        <v>647</v>
      </c>
      <c r="D20" s="6" t="s">
        <v>648</v>
      </c>
      <c r="E20" s="17">
        <v>4</v>
      </c>
      <c r="F20" s="15">
        <v>4</v>
      </c>
      <c r="G20" s="15">
        <v>35</v>
      </c>
      <c r="H20" s="15">
        <v>1</v>
      </c>
    </row>
    <row r="21" spans="2:8">
      <c r="B21" s="8">
        <v>386579</v>
      </c>
      <c r="C21" s="8" t="s">
        <v>649</v>
      </c>
      <c r="D21" s="8" t="s">
        <v>650</v>
      </c>
      <c r="E21" s="17">
        <v>4</v>
      </c>
      <c r="F21" s="16">
        <v>4</v>
      </c>
      <c r="G21" s="16">
        <v>35</v>
      </c>
      <c r="H21" s="16">
        <v>1</v>
      </c>
    </row>
    <row r="22" spans="2:8">
      <c r="B22" s="6">
        <v>387185</v>
      </c>
      <c r="C22" s="6" t="s">
        <v>651</v>
      </c>
      <c r="D22" s="6" t="s">
        <v>652</v>
      </c>
      <c r="E22" s="17">
        <v>4</v>
      </c>
      <c r="F22" s="15">
        <v>4</v>
      </c>
      <c r="G22" s="15">
        <v>35</v>
      </c>
      <c r="H22" s="15">
        <v>1</v>
      </c>
    </row>
    <row r="23" spans="2:8">
      <c r="B23" s="8">
        <v>387273</v>
      </c>
      <c r="C23" s="8" t="s">
        <v>653</v>
      </c>
      <c r="D23" s="8" t="s">
        <v>654</v>
      </c>
      <c r="E23" s="17">
        <v>4</v>
      </c>
      <c r="F23" s="16">
        <v>4</v>
      </c>
      <c r="G23" s="16">
        <v>35</v>
      </c>
      <c r="H23" s="16">
        <v>1</v>
      </c>
    </row>
    <row r="24" spans="2:8">
      <c r="B24" s="6">
        <v>387546</v>
      </c>
      <c r="C24" s="6" t="s">
        <v>655</v>
      </c>
      <c r="D24" s="6" t="s">
        <v>656</v>
      </c>
      <c r="E24" s="17">
        <v>4</v>
      </c>
      <c r="F24" s="15">
        <v>4</v>
      </c>
      <c r="G24" s="15">
        <v>37</v>
      </c>
      <c r="H24" s="15">
        <v>1</v>
      </c>
    </row>
    <row r="25" spans="2:8">
      <c r="B25" s="8">
        <v>387627</v>
      </c>
      <c r="C25" s="8" t="s">
        <v>657</v>
      </c>
      <c r="D25" s="8" t="s">
        <v>658</v>
      </c>
      <c r="E25" s="17">
        <v>4</v>
      </c>
      <c r="F25" s="16">
        <v>4</v>
      </c>
      <c r="G25" s="16">
        <v>71</v>
      </c>
      <c r="H25" s="16">
        <v>1</v>
      </c>
    </row>
    <row r="26" spans="2:8">
      <c r="B26" s="6">
        <v>387870</v>
      </c>
      <c r="C26" s="6" t="s">
        <v>659</v>
      </c>
      <c r="D26" s="6" t="s">
        <v>660</v>
      </c>
      <c r="E26" s="17">
        <v>4</v>
      </c>
      <c r="F26" s="15">
        <v>4</v>
      </c>
      <c r="G26" s="15">
        <v>37</v>
      </c>
      <c r="H26" s="15">
        <v>1</v>
      </c>
    </row>
    <row r="27" spans="2:8">
      <c r="B27" s="8">
        <v>387301</v>
      </c>
      <c r="C27" s="8" t="s">
        <v>661</v>
      </c>
      <c r="D27" s="8" t="s">
        <v>662</v>
      </c>
      <c r="E27" s="18">
        <v>3</v>
      </c>
      <c r="F27" s="16">
        <v>3</v>
      </c>
      <c r="G27" s="16">
        <v>65</v>
      </c>
      <c r="H27" s="16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H16"/>
  <sheetViews>
    <sheetView showGridLines="0" zoomScaleNormal="100" workbookViewId="0">
      <pane xSplit="1" ySplit="5" topLeftCell="B6" activePane="bottomRight" state="frozen"/>
      <selection pane="bottomRight"/>
      <selection pane="bottomLeft" activeCell="A6" sqref="A6"/>
      <selection pane="topRight" activeCell="B1" sqref="B1"/>
    </sheetView>
  </sheetViews>
  <sheetFormatPr defaultColWidth="8.7109375" defaultRowHeight="15"/>
  <cols>
    <col min="1" max="1" width="3" customWidth="1"/>
    <col min="2" max="2" width="8" customWidth="1"/>
    <col min="3" max="3" width="55" customWidth="1"/>
    <col min="4" max="4" width="30" customWidth="1"/>
    <col min="5" max="5" width="10" customWidth="1"/>
    <col min="6" max="6" width="12" customWidth="1"/>
    <col min="7" max="7" width="8" customWidth="1"/>
    <col min="8" max="8" width="14" customWidth="1"/>
  </cols>
  <sheetData>
    <row r="2" spans="2:8" ht="17.45">
      <c r="B2" s="1" t="s">
        <v>15</v>
      </c>
    </row>
    <row r="3" spans="2:8">
      <c r="B3" s="2" t="s">
        <v>663</v>
      </c>
    </row>
    <row r="5" spans="2:8" ht="26.85">
      <c r="B5" s="5" t="s">
        <v>33</v>
      </c>
      <c r="C5" s="5" t="s">
        <v>34</v>
      </c>
      <c r="D5" s="5" t="s">
        <v>35</v>
      </c>
      <c r="E5" s="5" t="s">
        <v>36</v>
      </c>
      <c r="F5" s="5" t="s">
        <v>37</v>
      </c>
      <c r="G5" s="5" t="s">
        <v>38</v>
      </c>
      <c r="H5" s="5" t="s">
        <v>39</v>
      </c>
    </row>
    <row r="6" spans="2:8">
      <c r="B6" s="6">
        <v>92439</v>
      </c>
      <c r="C6" s="6" t="s">
        <v>664</v>
      </c>
      <c r="D6" s="6" t="s">
        <v>665</v>
      </c>
      <c r="E6" s="14">
        <v>5</v>
      </c>
      <c r="F6" s="15">
        <v>5</v>
      </c>
      <c r="G6" s="15">
        <v>95</v>
      </c>
      <c r="H6" s="15">
        <v>2</v>
      </c>
    </row>
    <row r="7" spans="2:8">
      <c r="B7" s="8">
        <v>92418</v>
      </c>
      <c r="C7" s="8" t="s">
        <v>666</v>
      </c>
      <c r="D7" s="8" t="s">
        <v>667</v>
      </c>
      <c r="E7" s="14">
        <v>5</v>
      </c>
      <c r="F7" s="16">
        <v>5</v>
      </c>
      <c r="G7" s="16">
        <v>95</v>
      </c>
      <c r="H7" s="16">
        <v>1</v>
      </c>
    </row>
    <row r="8" spans="2:8">
      <c r="B8" s="6">
        <v>92430</v>
      </c>
      <c r="C8" s="6" t="s">
        <v>666</v>
      </c>
      <c r="D8" s="6" t="s">
        <v>668</v>
      </c>
      <c r="E8" s="14">
        <v>5</v>
      </c>
      <c r="F8" s="15">
        <v>5</v>
      </c>
      <c r="G8" s="15">
        <v>75</v>
      </c>
      <c r="H8" s="15">
        <v>1</v>
      </c>
    </row>
    <row r="9" spans="2:8">
      <c r="B9" s="8">
        <v>106105</v>
      </c>
      <c r="C9" s="8" t="s">
        <v>669</v>
      </c>
      <c r="D9" s="8"/>
      <c r="E9" s="14">
        <v>5</v>
      </c>
      <c r="F9" s="16">
        <v>5</v>
      </c>
      <c r="G9" s="16">
        <v>60</v>
      </c>
      <c r="H9" s="16">
        <v>1</v>
      </c>
    </row>
    <row r="10" spans="2:8">
      <c r="B10" s="6">
        <v>106233</v>
      </c>
      <c r="C10" s="6" t="s">
        <v>670</v>
      </c>
      <c r="D10" s="6"/>
      <c r="E10" s="14">
        <v>5</v>
      </c>
      <c r="F10" s="15">
        <v>5</v>
      </c>
      <c r="G10" s="15">
        <v>60</v>
      </c>
      <c r="H10" s="15">
        <v>1</v>
      </c>
    </row>
    <row r="11" spans="2:8">
      <c r="B11" s="8">
        <v>388257</v>
      </c>
      <c r="C11" s="8" t="s">
        <v>671</v>
      </c>
      <c r="D11" s="8" t="s">
        <v>672</v>
      </c>
      <c r="E11" s="14">
        <v>5</v>
      </c>
      <c r="F11" s="16">
        <v>5</v>
      </c>
      <c r="G11" s="16">
        <v>35</v>
      </c>
      <c r="H11" s="16">
        <v>1</v>
      </c>
    </row>
    <row r="12" spans="2:8">
      <c r="B12" s="6">
        <v>92438</v>
      </c>
      <c r="C12" s="6" t="s">
        <v>673</v>
      </c>
      <c r="D12" s="6" t="s">
        <v>674</v>
      </c>
      <c r="E12" s="17">
        <v>4</v>
      </c>
      <c r="F12" s="15">
        <v>4</v>
      </c>
      <c r="G12" s="15">
        <v>35</v>
      </c>
      <c r="H12" s="15">
        <v>2</v>
      </c>
    </row>
    <row r="13" spans="2:8">
      <c r="B13" s="8">
        <v>383343</v>
      </c>
      <c r="C13" s="8" t="s">
        <v>675</v>
      </c>
      <c r="D13" s="8" t="s">
        <v>676</v>
      </c>
      <c r="E13" s="17">
        <v>4</v>
      </c>
      <c r="F13" s="16">
        <v>4</v>
      </c>
      <c r="G13" s="16">
        <v>41</v>
      </c>
      <c r="H13" s="16">
        <v>1</v>
      </c>
    </row>
    <row r="14" spans="2:8">
      <c r="B14" s="6">
        <v>386318</v>
      </c>
      <c r="C14" s="6" t="s">
        <v>677</v>
      </c>
      <c r="D14" s="6" t="s">
        <v>678</v>
      </c>
      <c r="E14" s="17">
        <v>4</v>
      </c>
      <c r="F14" s="15">
        <v>4</v>
      </c>
      <c r="G14" s="15">
        <v>35</v>
      </c>
      <c r="H14" s="15">
        <v>1</v>
      </c>
    </row>
    <row r="15" spans="2:8">
      <c r="B15" s="8">
        <v>91704</v>
      </c>
      <c r="C15" s="8" t="s">
        <v>679</v>
      </c>
      <c r="D15" s="8"/>
      <c r="E15" s="18">
        <v>3</v>
      </c>
      <c r="F15" s="16">
        <v>3</v>
      </c>
      <c r="G15" s="16">
        <v>50</v>
      </c>
      <c r="H15" s="16">
        <v>5</v>
      </c>
    </row>
    <row r="16" spans="2:8">
      <c r="B16" s="6">
        <v>92437</v>
      </c>
      <c r="C16" s="6" t="s">
        <v>680</v>
      </c>
      <c r="D16" s="6" t="s">
        <v>681</v>
      </c>
      <c r="E16" s="18">
        <v>3</v>
      </c>
      <c r="F16" s="15">
        <v>3</v>
      </c>
      <c r="G16" s="15">
        <v>35</v>
      </c>
      <c r="H16" s="15"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H20"/>
  <sheetViews>
    <sheetView showGridLines="0" zoomScaleNormal="100" workbookViewId="0">
      <pane xSplit="1" ySplit="5" topLeftCell="B6" activePane="bottomRight" state="frozen"/>
      <selection pane="bottomRight"/>
      <selection pane="bottomLeft" activeCell="A6" sqref="A6"/>
      <selection pane="topRight" activeCell="B1" sqref="B1"/>
    </sheetView>
  </sheetViews>
  <sheetFormatPr defaultColWidth="8.7109375" defaultRowHeight="15"/>
  <cols>
    <col min="1" max="1" width="3" customWidth="1"/>
    <col min="2" max="2" width="8" customWidth="1"/>
    <col min="3" max="3" width="55" customWidth="1"/>
    <col min="4" max="4" width="30" customWidth="1"/>
    <col min="5" max="5" width="10" customWidth="1"/>
    <col min="6" max="6" width="12" customWidth="1"/>
    <col min="7" max="7" width="8" customWidth="1"/>
    <col min="8" max="8" width="14" customWidth="1"/>
  </cols>
  <sheetData>
    <row r="2" spans="2:8" ht="17.45">
      <c r="B2" s="1" t="s">
        <v>16</v>
      </c>
    </row>
    <row r="3" spans="2:8">
      <c r="B3" s="2" t="s">
        <v>682</v>
      </c>
    </row>
    <row r="5" spans="2:8" ht="26.85">
      <c r="B5" s="5" t="s">
        <v>33</v>
      </c>
      <c r="C5" s="5" t="s">
        <v>34</v>
      </c>
      <c r="D5" s="5" t="s">
        <v>35</v>
      </c>
      <c r="E5" s="5" t="s">
        <v>36</v>
      </c>
      <c r="F5" s="5" t="s">
        <v>37</v>
      </c>
      <c r="G5" s="5" t="s">
        <v>38</v>
      </c>
      <c r="H5" s="5" t="s">
        <v>39</v>
      </c>
    </row>
    <row r="6" spans="2:8">
      <c r="B6" s="6">
        <v>6035928</v>
      </c>
      <c r="C6" s="6" t="s">
        <v>683</v>
      </c>
      <c r="D6" s="6" t="s">
        <v>684</v>
      </c>
      <c r="E6" s="14">
        <v>5</v>
      </c>
      <c r="F6" s="15">
        <v>5</v>
      </c>
      <c r="G6" s="15">
        <v>72</v>
      </c>
      <c r="H6" s="15">
        <v>1</v>
      </c>
    </row>
    <row r="7" spans="2:8">
      <c r="B7" s="8">
        <v>6035929</v>
      </c>
      <c r="C7" s="8" t="s">
        <v>683</v>
      </c>
      <c r="D7" s="8" t="s">
        <v>685</v>
      </c>
      <c r="E7" s="14">
        <v>5</v>
      </c>
      <c r="F7" s="16">
        <v>5</v>
      </c>
      <c r="G7" s="16">
        <v>95</v>
      </c>
      <c r="H7" s="16">
        <v>1</v>
      </c>
    </row>
    <row r="8" spans="2:8">
      <c r="B8" s="6">
        <v>6036021</v>
      </c>
      <c r="C8" s="6" t="s">
        <v>686</v>
      </c>
      <c r="D8" s="6" t="s">
        <v>687</v>
      </c>
      <c r="E8" s="14">
        <v>5</v>
      </c>
      <c r="F8" s="15">
        <v>5</v>
      </c>
      <c r="G8" s="15">
        <v>65</v>
      </c>
      <c r="H8" s="15">
        <v>1</v>
      </c>
    </row>
    <row r="9" spans="2:8">
      <c r="B9" s="8">
        <v>6036022</v>
      </c>
      <c r="C9" s="8" t="s">
        <v>686</v>
      </c>
      <c r="D9" s="8" t="s">
        <v>688</v>
      </c>
      <c r="E9" s="14">
        <v>5</v>
      </c>
      <c r="F9" s="16">
        <v>5</v>
      </c>
      <c r="G9" s="16">
        <v>95</v>
      </c>
      <c r="H9" s="16">
        <v>1</v>
      </c>
    </row>
    <row r="10" spans="2:8">
      <c r="B10" s="6">
        <v>6036023</v>
      </c>
      <c r="C10" s="6" t="s">
        <v>686</v>
      </c>
      <c r="D10" s="6" t="s">
        <v>689</v>
      </c>
      <c r="E10" s="14">
        <v>5</v>
      </c>
      <c r="F10" s="15">
        <v>5</v>
      </c>
      <c r="G10" s="15">
        <v>65</v>
      </c>
      <c r="H10" s="15">
        <v>1</v>
      </c>
    </row>
    <row r="11" spans="2:8">
      <c r="B11" s="8">
        <v>6036024</v>
      </c>
      <c r="C11" s="8" t="s">
        <v>686</v>
      </c>
      <c r="D11" s="8" t="s">
        <v>690</v>
      </c>
      <c r="E11" s="14">
        <v>5</v>
      </c>
      <c r="F11" s="16">
        <v>5</v>
      </c>
      <c r="G11" s="16">
        <v>65</v>
      </c>
      <c r="H11" s="16">
        <v>1</v>
      </c>
    </row>
    <row r="12" spans="2:8">
      <c r="B12" s="6">
        <v>6036206</v>
      </c>
      <c r="C12" s="6" t="s">
        <v>691</v>
      </c>
      <c r="D12" s="6" t="s">
        <v>692</v>
      </c>
      <c r="E12" s="14">
        <v>5</v>
      </c>
      <c r="F12" s="15">
        <v>5</v>
      </c>
      <c r="G12" s="15">
        <v>95</v>
      </c>
      <c r="H12" s="15">
        <v>1</v>
      </c>
    </row>
    <row r="13" spans="2:8">
      <c r="B13" s="8">
        <v>6873084</v>
      </c>
      <c r="C13" s="8" t="s">
        <v>693</v>
      </c>
      <c r="D13" s="8" t="s">
        <v>694</v>
      </c>
      <c r="E13" s="14">
        <v>5</v>
      </c>
      <c r="F13" s="16">
        <v>5</v>
      </c>
      <c r="G13" s="16">
        <v>65</v>
      </c>
      <c r="H13" s="16">
        <v>1</v>
      </c>
    </row>
    <row r="14" spans="2:8">
      <c r="B14" s="6">
        <v>6021818</v>
      </c>
      <c r="C14" s="6" t="s">
        <v>695</v>
      </c>
      <c r="D14" s="6" t="s">
        <v>696</v>
      </c>
      <c r="E14" s="17">
        <v>4</v>
      </c>
      <c r="F14" s="15">
        <v>4</v>
      </c>
      <c r="G14" s="15">
        <v>35</v>
      </c>
      <c r="H14" s="15">
        <v>2</v>
      </c>
    </row>
    <row r="15" spans="2:8">
      <c r="B15" s="8">
        <v>6035751</v>
      </c>
      <c r="C15" s="8" t="s">
        <v>697</v>
      </c>
      <c r="D15" s="8" t="s">
        <v>698</v>
      </c>
      <c r="E15" s="17">
        <v>4</v>
      </c>
      <c r="F15" s="16">
        <v>4</v>
      </c>
      <c r="G15" s="16">
        <v>35</v>
      </c>
      <c r="H15" s="16">
        <v>1</v>
      </c>
    </row>
    <row r="16" spans="2:8">
      <c r="B16" s="6">
        <v>6035786</v>
      </c>
      <c r="C16" s="6" t="s">
        <v>699</v>
      </c>
      <c r="D16" s="6" t="s">
        <v>700</v>
      </c>
      <c r="E16" s="17">
        <v>4</v>
      </c>
      <c r="F16" s="15">
        <v>4</v>
      </c>
      <c r="G16" s="15">
        <v>95</v>
      </c>
      <c r="H16" s="15">
        <v>1</v>
      </c>
    </row>
    <row r="17" spans="2:8">
      <c r="B17" s="8">
        <v>6035790</v>
      </c>
      <c r="C17" s="8" t="s">
        <v>701</v>
      </c>
      <c r="D17" s="8" t="s">
        <v>702</v>
      </c>
      <c r="E17" s="17">
        <v>4</v>
      </c>
      <c r="F17" s="16">
        <v>4</v>
      </c>
      <c r="G17" s="16">
        <v>35</v>
      </c>
      <c r="H17" s="16">
        <v>1</v>
      </c>
    </row>
    <row r="18" spans="2:8">
      <c r="B18" s="6">
        <v>6035851</v>
      </c>
      <c r="C18" s="6" t="s">
        <v>703</v>
      </c>
      <c r="D18" s="6" t="s">
        <v>704</v>
      </c>
      <c r="E18" s="17">
        <v>4</v>
      </c>
      <c r="F18" s="15">
        <v>4</v>
      </c>
      <c r="G18" s="15">
        <v>35</v>
      </c>
      <c r="H18" s="15">
        <v>1</v>
      </c>
    </row>
    <row r="19" spans="2:8">
      <c r="B19" s="8">
        <v>6036197</v>
      </c>
      <c r="C19" s="8" t="s">
        <v>705</v>
      </c>
      <c r="D19" s="8" t="s">
        <v>706</v>
      </c>
      <c r="E19" s="17">
        <v>4</v>
      </c>
      <c r="F19" s="16">
        <v>4</v>
      </c>
      <c r="G19" s="16">
        <v>35</v>
      </c>
      <c r="H19" s="16">
        <v>1</v>
      </c>
    </row>
    <row r="20" spans="2:8">
      <c r="B20" s="6">
        <v>6035831</v>
      </c>
      <c r="C20" s="6" t="s">
        <v>707</v>
      </c>
      <c r="D20" s="6" t="s">
        <v>708</v>
      </c>
      <c r="E20" s="19">
        <v>2</v>
      </c>
      <c r="F20" s="15">
        <v>2</v>
      </c>
      <c r="G20" s="15">
        <v>20</v>
      </c>
      <c r="H20" s="15"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H7"/>
  <sheetViews>
    <sheetView showGridLines="0" zoomScaleNormal="100" workbookViewId="0">
      <pane xSplit="1" ySplit="5" topLeftCell="B6" activePane="bottomRight" state="frozen"/>
      <selection pane="bottomRight"/>
      <selection pane="bottomLeft" activeCell="A6" sqref="A6"/>
      <selection pane="topRight" activeCell="B1" sqref="B1"/>
    </sheetView>
  </sheetViews>
  <sheetFormatPr defaultColWidth="8.7109375" defaultRowHeight="15"/>
  <cols>
    <col min="1" max="1" width="3" customWidth="1"/>
    <col min="2" max="2" width="8" customWidth="1"/>
    <col min="3" max="3" width="55" customWidth="1"/>
    <col min="4" max="4" width="30" customWidth="1"/>
    <col min="5" max="5" width="10" customWidth="1"/>
    <col min="6" max="6" width="12" customWidth="1"/>
    <col min="7" max="7" width="8" customWidth="1"/>
    <col min="8" max="8" width="14" customWidth="1"/>
  </cols>
  <sheetData>
    <row r="2" spans="2:8" ht="17.45">
      <c r="B2" s="1" t="s">
        <v>17</v>
      </c>
    </row>
    <row r="3" spans="2:8">
      <c r="B3" s="2" t="s">
        <v>709</v>
      </c>
    </row>
    <row r="5" spans="2:8" ht="26.85">
      <c r="B5" s="5" t="s">
        <v>33</v>
      </c>
      <c r="C5" s="5" t="s">
        <v>34</v>
      </c>
      <c r="D5" s="5" t="s">
        <v>35</v>
      </c>
      <c r="E5" s="5" t="s">
        <v>36</v>
      </c>
      <c r="F5" s="5" t="s">
        <v>37</v>
      </c>
      <c r="G5" s="5" t="s">
        <v>38</v>
      </c>
      <c r="H5" s="5" t="s">
        <v>39</v>
      </c>
    </row>
    <row r="6" spans="2:8">
      <c r="B6" s="6">
        <v>650104</v>
      </c>
      <c r="C6" s="6" t="s">
        <v>710</v>
      </c>
      <c r="D6" s="6"/>
      <c r="E6" s="14">
        <v>5</v>
      </c>
      <c r="F6" s="15">
        <v>5</v>
      </c>
      <c r="G6" s="15">
        <v>100</v>
      </c>
      <c r="H6" s="15">
        <v>8</v>
      </c>
    </row>
    <row r="7" spans="2:8">
      <c r="B7" s="8">
        <v>106028</v>
      </c>
      <c r="C7" s="8" t="s">
        <v>711</v>
      </c>
      <c r="D7" s="8"/>
      <c r="E7" s="14">
        <v>5</v>
      </c>
      <c r="F7" s="16">
        <v>5</v>
      </c>
      <c r="G7" s="16">
        <v>60</v>
      </c>
      <c r="H7" s="16"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H15"/>
  <sheetViews>
    <sheetView showGridLines="0" zoomScaleNormal="100" workbookViewId="0">
      <pane xSplit="1" ySplit="5" topLeftCell="B6" activePane="bottomRight" state="frozen"/>
      <selection pane="bottomRight"/>
      <selection pane="bottomLeft" activeCell="A6" sqref="A6"/>
      <selection pane="topRight" activeCell="B1" sqref="B1"/>
    </sheetView>
  </sheetViews>
  <sheetFormatPr defaultColWidth="8.7109375" defaultRowHeight="15"/>
  <cols>
    <col min="1" max="1" width="3" customWidth="1"/>
    <col min="2" max="2" width="8" customWidth="1"/>
    <col min="3" max="3" width="55" customWidth="1"/>
    <col min="4" max="4" width="30" customWidth="1"/>
    <col min="5" max="5" width="10" customWidth="1"/>
    <col min="6" max="6" width="12" customWidth="1"/>
    <col min="7" max="7" width="8" customWidth="1"/>
    <col min="8" max="8" width="14" customWidth="1"/>
  </cols>
  <sheetData>
    <row r="2" spans="2:8" ht="17.45">
      <c r="B2" s="1" t="s">
        <v>18</v>
      </c>
    </row>
    <row r="3" spans="2:8">
      <c r="B3" s="2" t="s">
        <v>712</v>
      </c>
    </row>
    <row r="5" spans="2:8" ht="26.85">
      <c r="B5" s="5" t="s">
        <v>33</v>
      </c>
      <c r="C5" s="5" t="s">
        <v>34</v>
      </c>
      <c r="D5" s="5" t="s">
        <v>35</v>
      </c>
      <c r="E5" s="5" t="s">
        <v>36</v>
      </c>
      <c r="F5" s="5" t="s">
        <v>37</v>
      </c>
      <c r="G5" s="5" t="s">
        <v>38</v>
      </c>
      <c r="H5" s="5" t="s">
        <v>39</v>
      </c>
    </row>
    <row r="6" spans="2:8">
      <c r="B6" s="6">
        <v>383097</v>
      </c>
      <c r="C6" s="6" t="s">
        <v>713</v>
      </c>
      <c r="D6" s="6" t="s">
        <v>714</v>
      </c>
      <c r="E6" s="14">
        <v>5</v>
      </c>
      <c r="F6" s="15">
        <v>5</v>
      </c>
      <c r="G6" s="15">
        <v>95</v>
      </c>
      <c r="H6" s="15">
        <v>1</v>
      </c>
    </row>
    <row r="7" spans="2:8">
      <c r="B7" s="8">
        <v>383578</v>
      </c>
      <c r="C7" s="8" t="s">
        <v>715</v>
      </c>
      <c r="D7" s="8" t="s">
        <v>716</v>
      </c>
      <c r="E7" s="14">
        <v>5</v>
      </c>
      <c r="F7" s="16">
        <v>5</v>
      </c>
      <c r="G7" s="16">
        <v>65</v>
      </c>
      <c r="H7" s="16">
        <v>1</v>
      </c>
    </row>
    <row r="8" spans="2:8">
      <c r="B8" s="6">
        <v>380188</v>
      </c>
      <c r="C8" s="6" t="s">
        <v>717</v>
      </c>
      <c r="D8" s="6" t="s">
        <v>718</v>
      </c>
      <c r="E8" s="17">
        <v>4</v>
      </c>
      <c r="F8" s="15">
        <v>4</v>
      </c>
      <c r="G8" s="15">
        <v>35</v>
      </c>
      <c r="H8" s="15">
        <v>1</v>
      </c>
    </row>
    <row r="9" spans="2:8">
      <c r="B9" s="8">
        <v>380707</v>
      </c>
      <c r="C9" s="8" t="s">
        <v>719</v>
      </c>
      <c r="D9" s="8" t="s">
        <v>720</v>
      </c>
      <c r="E9" s="17">
        <v>4</v>
      </c>
      <c r="F9" s="16">
        <v>4</v>
      </c>
      <c r="G9" s="16">
        <v>42</v>
      </c>
      <c r="H9" s="16">
        <v>1</v>
      </c>
    </row>
    <row r="10" spans="2:8">
      <c r="B10" s="6">
        <v>382697</v>
      </c>
      <c r="C10" s="6" t="s">
        <v>721</v>
      </c>
      <c r="D10" s="6" t="s">
        <v>722</v>
      </c>
      <c r="E10" s="17">
        <v>4</v>
      </c>
      <c r="F10" s="15">
        <v>4</v>
      </c>
      <c r="G10" s="15">
        <v>30</v>
      </c>
      <c r="H10" s="15">
        <v>1</v>
      </c>
    </row>
    <row r="11" spans="2:8">
      <c r="B11" s="8">
        <v>385593</v>
      </c>
      <c r="C11" s="8" t="s">
        <v>723</v>
      </c>
      <c r="D11" s="8" t="s">
        <v>724</v>
      </c>
      <c r="E11" s="17">
        <v>4</v>
      </c>
      <c r="F11" s="16">
        <v>4</v>
      </c>
      <c r="G11" s="16">
        <v>95</v>
      </c>
      <c r="H11" s="16">
        <v>1</v>
      </c>
    </row>
    <row r="12" spans="2:8">
      <c r="B12" s="6">
        <v>386371</v>
      </c>
      <c r="C12" s="6" t="s">
        <v>725</v>
      </c>
      <c r="D12" s="6" t="s">
        <v>726</v>
      </c>
      <c r="E12" s="17">
        <v>4</v>
      </c>
      <c r="F12" s="15">
        <v>4</v>
      </c>
      <c r="G12" s="15">
        <v>65</v>
      </c>
      <c r="H12" s="15">
        <v>1</v>
      </c>
    </row>
    <row r="13" spans="2:8">
      <c r="B13" s="8">
        <v>387986</v>
      </c>
      <c r="C13" s="8" t="s">
        <v>727</v>
      </c>
      <c r="D13" s="8" t="s">
        <v>728</v>
      </c>
      <c r="E13" s="17">
        <v>4</v>
      </c>
      <c r="F13" s="16">
        <v>4</v>
      </c>
      <c r="G13" s="16">
        <v>42</v>
      </c>
      <c r="H13" s="16">
        <v>1</v>
      </c>
    </row>
    <row r="14" spans="2:8">
      <c r="B14" s="6">
        <v>388370</v>
      </c>
      <c r="C14" s="6" t="s">
        <v>729</v>
      </c>
      <c r="D14" s="6" t="s">
        <v>730</v>
      </c>
      <c r="E14" s="17">
        <v>4</v>
      </c>
      <c r="F14" s="15">
        <v>4</v>
      </c>
      <c r="G14" s="15">
        <v>35</v>
      </c>
      <c r="H14" s="15">
        <v>1</v>
      </c>
    </row>
    <row r="15" spans="2:8">
      <c r="B15" s="8">
        <v>387117</v>
      </c>
      <c r="C15" s="8" t="s">
        <v>731</v>
      </c>
      <c r="D15" s="8" t="s">
        <v>732</v>
      </c>
      <c r="E15" s="18">
        <v>3</v>
      </c>
      <c r="F15" s="16">
        <v>3</v>
      </c>
      <c r="G15" s="16">
        <v>35</v>
      </c>
      <c r="H15" s="16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H11"/>
  <sheetViews>
    <sheetView showGridLines="0" zoomScaleNormal="100" workbookViewId="0">
      <pane xSplit="1" ySplit="5" topLeftCell="B6" activePane="bottomRight" state="frozen"/>
      <selection pane="bottomRight"/>
      <selection pane="bottomLeft" activeCell="A6" sqref="A6"/>
      <selection pane="topRight" activeCell="B1" sqref="B1"/>
    </sheetView>
  </sheetViews>
  <sheetFormatPr defaultColWidth="8.7109375" defaultRowHeight="15"/>
  <cols>
    <col min="1" max="1" width="3" customWidth="1"/>
    <col min="2" max="2" width="8" customWidth="1"/>
    <col min="3" max="3" width="55" customWidth="1"/>
    <col min="4" max="4" width="30" customWidth="1"/>
    <col min="5" max="5" width="10" customWidth="1"/>
    <col min="6" max="6" width="12" customWidth="1"/>
    <col min="7" max="7" width="8" customWidth="1"/>
    <col min="8" max="8" width="14" customWidth="1"/>
  </cols>
  <sheetData>
    <row r="2" spans="2:8" ht="17.45">
      <c r="B2" s="1" t="s">
        <v>19</v>
      </c>
    </row>
    <row r="3" spans="2:8">
      <c r="B3" s="2" t="s">
        <v>733</v>
      </c>
    </row>
    <row r="5" spans="2:8" ht="26.85">
      <c r="B5" s="5" t="s">
        <v>33</v>
      </c>
      <c r="C5" s="5" t="s">
        <v>34</v>
      </c>
      <c r="D5" s="5" t="s">
        <v>35</v>
      </c>
      <c r="E5" s="5" t="s">
        <v>36</v>
      </c>
      <c r="F5" s="5" t="s">
        <v>37</v>
      </c>
      <c r="G5" s="5" t="s">
        <v>38</v>
      </c>
      <c r="H5" s="5" t="s">
        <v>39</v>
      </c>
    </row>
    <row r="6" spans="2:8">
      <c r="B6" s="6">
        <v>388535</v>
      </c>
      <c r="C6" s="6" t="s">
        <v>734</v>
      </c>
      <c r="D6" s="6" t="s">
        <v>735</v>
      </c>
      <c r="E6" s="14">
        <v>5</v>
      </c>
      <c r="F6" s="15">
        <v>5</v>
      </c>
      <c r="G6" s="15">
        <v>65</v>
      </c>
      <c r="H6" s="15">
        <v>2</v>
      </c>
    </row>
    <row r="7" spans="2:8">
      <c r="B7" s="8">
        <v>388538</v>
      </c>
      <c r="C7" s="8" t="s">
        <v>734</v>
      </c>
      <c r="D7" s="8" t="s">
        <v>736</v>
      </c>
      <c r="E7" s="14">
        <v>5</v>
      </c>
      <c r="F7" s="16">
        <v>5</v>
      </c>
      <c r="G7" s="16">
        <v>65</v>
      </c>
      <c r="H7" s="16">
        <v>2</v>
      </c>
    </row>
    <row r="8" spans="2:8">
      <c r="B8" s="6">
        <v>388262</v>
      </c>
      <c r="C8" s="6" t="s">
        <v>737</v>
      </c>
      <c r="D8" s="6" t="s">
        <v>738</v>
      </c>
      <c r="E8" s="14">
        <v>5</v>
      </c>
      <c r="F8" s="15">
        <v>5</v>
      </c>
      <c r="G8" s="15">
        <v>65</v>
      </c>
      <c r="H8" s="15">
        <v>1</v>
      </c>
    </row>
    <row r="9" spans="2:8">
      <c r="B9" s="8">
        <v>388464</v>
      </c>
      <c r="C9" s="8" t="s">
        <v>739</v>
      </c>
      <c r="D9" s="8" t="s">
        <v>740</v>
      </c>
      <c r="E9" s="14">
        <v>5</v>
      </c>
      <c r="F9" s="16">
        <v>5</v>
      </c>
      <c r="G9" s="16">
        <v>65</v>
      </c>
      <c r="H9" s="16">
        <v>1</v>
      </c>
    </row>
    <row r="10" spans="2:8">
      <c r="B10" s="6">
        <v>388354</v>
      </c>
      <c r="C10" s="6" t="s">
        <v>741</v>
      </c>
      <c r="D10" s="6" t="s">
        <v>742</v>
      </c>
      <c r="E10" s="17">
        <v>4</v>
      </c>
      <c r="F10" s="15">
        <v>4</v>
      </c>
      <c r="G10" s="15">
        <v>35</v>
      </c>
      <c r="H10" s="15">
        <v>1</v>
      </c>
    </row>
    <row r="11" spans="2:8">
      <c r="B11" s="8">
        <v>388496</v>
      </c>
      <c r="C11" s="8" t="s">
        <v>743</v>
      </c>
      <c r="D11" s="8"/>
      <c r="E11" s="17">
        <v>4</v>
      </c>
      <c r="F11" s="16">
        <v>4</v>
      </c>
      <c r="G11" s="16">
        <v>60</v>
      </c>
      <c r="H11" s="16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H13"/>
  <sheetViews>
    <sheetView showGridLines="0" zoomScaleNormal="100" workbookViewId="0">
      <pane xSplit="1" ySplit="5" topLeftCell="B6" activePane="bottomRight" state="frozen"/>
      <selection pane="bottomRight"/>
      <selection pane="bottomLeft" activeCell="A6" sqref="A6"/>
      <selection pane="topRight" activeCell="B1" sqref="B1"/>
    </sheetView>
  </sheetViews>
  <sheetFormatPr defaultColWidth="8.7109375" defaultRowHeight="15"/>
  <cols>
    <col min="1" max="1" width="3" customWidth="1"/>
    <col min="2" max="2" width="8" customWidth="1"/>
    <col min="3" max="3" width="55" customWidth="1"/>
    <col min="4" max="4" width="30" customWidth="1"/>
    <col min="5" max="5" width="10" customWidth="1"/>
    <col min="6" max="6" width="12" customWidth="1"/>
    <col min="7" max="7" width="8" customWidth="1"/>
    <col min="8" max="8" width="14" customWidth="1"/>
  </cols>
  <sheetData>
    <row r="2" spans="2:8" ht="17.45">
      <c r="B2" s="1" t="s">
        <v>20</v>
      </c>
    </row>
    <row r="3" spans="2:8">
      <c r="B3" s="2" t="s">
        <v>744</v>
      </c>
    </row>
    <row r="5" spans="2:8" ht="26.85">
      <c r="B5" s="5" t="s">
        <v>33</v>
      </c>
      <c r="C5" s="5" t="s">
        <v>34</v>
      </c>
      <c r="D5" s="5" t="s">
        <v>35</v>
      </c>
      <c r="E5" s="5" t="s">
        <v>36</v>
      </c>
      <c r="F5" s="5" t="s">
        <v>37</v>
      </c>
      <c r="G5" s="5" t="s">
        <v>38</v>
      </c>
      <c r="H5" s="5" t="s">
        <v>39</v>
      </c>
    </row>
    <row r="6" spans="2:8">
      <c r="B6" s="6">
        <v>383592</v>
      </c>
      <c r="C6" s="6" t="s">
        <v>745</v>
      </c>
      <c r="D6" s="6" t="s">
        <v>746</v>
      </c>
      <c r="E6" s="17">
        <v>4</v>
      </c>
      <c r="F6" s="15">
        <v>4</v>
      </c>
      <c r="G6" s="15">
        <v>42</v>
      </c>
      <c r="H6" s="15">
        <v>1</v>
      </c>
    </row>
    <row r="7" spans="2:8">
      <c r="B7" s="8">
        <v>386332</v>
      </c>
      <c r="C7" s="8" t="s">
        <v>747</v>
      </c>
      <c r="D7" s="8" t="s">
        <v>748</v>
      </c>
      <c r="E7" s="17">
        <v>4</v>
      </c>
      <c r="F7" s="16">
        <v>4</v>
      </c>
      <c r="G7" s="16">
        <v>72</v>
      </c>
      <c r="H7" s="16">
        <v>1</v>
      </c>
    </row>
    <row r="8" spans="2:8">
      <c r="B8" s="6">
        <v>386617</v>
      </c>
      <c r="C8" s="6" t="s">
        <v>749</v>
      </c>
      <c r="D8" s="6" t="s">
        <v>750</v>
      </c>
      <c r="E8" s="17">
        <v>4</v>
      </c>
      <c r="F8" s="15">
        <v>4</v>
      </c>
      <c r="G8" s="15">
        <v>42</v>
      </c>
      <c r="H8" s="15">
        <v>1</v>
      </c>
    </row>
    <row r="9" spans="2:8">
      <c r="B9" s="8">
        <v>386938</v>
      </c>
      <c r="C9" s="8" t="s">
        <v>747</v>
      </c>
      <c r="D9" s="8" t="s">
        <v>751</v>
      </c>
      <c r="E9" s="17">
        <v>4</v>
      </c>
      <c r="F9" s="16">
        <v>4</v>
      </c>
      <c r="G9" s="16">
        <v>42</v>
      </c>
      <c r="H9" s="16">
        <v>1</v>
      </c>
    </row>
    <row r="10" spans="2:8">
      <c r="B10" s="6">
        <v>387704</v>
      </c>
      <c r="C10" s="6" t="s">
        <v>747</v>
      </c>
      <c r="D10" s="6" t="s">
        <v>752</v>
      </c>
      <c r="E10" s="17">
        <v>4</v>
      </c>
      <c r="F10" s="15">
        <v>4</v>
      </c>
      <c r="G10" s="15">
        <v>65</v>
      </c>
      <c r="H10" s="15">
        <v>1</v>
      </c>
    </row>
    <row r="11" spans="2:8">
      <c r="B11" s="8">
        <v>388192</v>
      </c>
      <c r="C11" s="8" t="s">
        <v>747</v>
      </c>
      <c r="D11" s="8" t="s">
        <v>753</v>
      </c>
      <c r="E11" s="17">
        <v>4</v>
      </c>
      <c r="F11" s="16">
        <v>4</v>
      </c>
      <c r="G11" s="16">
        <v>42</v>
      </c>
      <c r="H11" s="16">
        <v>1</v>
      </c>
    </row>
    <row r="12" spans="2:8">
      <c r="B12" s="6">
        <v>383243</v>
      </c>
      <c r="C12" s="6" t="s">
        <v>754</v>
      </c>
      <c r="D12" s="6" t="s">
        <v>755</v>
      </c>
      <c r="E12" s="18">
        <v>3</v>
      </c>
      <c r="F12" s="15">
        <v>3</v>
      </c>
      <c r="G12" s="15">
        <v>35</v>
      </c>
      <c r="H12" s="15">
        <v>1</v>
      </c>
    </row>
    <row r="13" spans="2:8">
      <c r="B13" s="8">
        <v>383250</v>
      </c>
      <c r="C13" s="8" t="s">
        <v>756</v>
      </c>
      <c r="D13" s="8" t="s">
        <v>757</v>
      </c>
      <c r="E13" s="19">
        <v>2</v>
      </c>
      <c r="F13" s="16">
        <v>2</v>
      </c>
      <c r="G13" s="16">
        <v>20</v>
      </c>
      <c r="H13" s="16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H7"/>
  <sheetViews>
    <sheetView showGridLines="0" zoomScaleNormal="100" workbookViewId="0">
      <pane xSplit="1" ySplit="5" topLeftCell="B6" activePane="bottomRight" state="frozen"/>
      <selection pane="bottomRight"/>
      <selection pane="bottomLeft" activeCell="A6" sqref="A6"/>
      <selection pane="topRight" activeCell="B1" sqref="B1"/>
    </sheetView>
  </sheetViews>
  <sheetFormatPr defaultColWidth="8.7109375" defaultRowHeight="15"/>
  <cols>
    <col min="1" max="1" width="3" customWidth="1"/>
    <col min="2" max="2" width="8" customWidth="1"/>
    <col min="3" max="3" width="55" customWidth="1"/>
    <col min="4" max="4" width="30" customWidth="1"/>
    <col min="5" max="5" width="10" customWidth="1"/>
    <col min="6" max="6" width="12" customWidth="1"/>
    <col min="7" max="7" width="8" customWidth="1"/>
    <col min="8" max="8" width="14" customWidth="1"/>
  </cols>
  <sheetData>
    <row r="2" spans="2:8" ht="17.45">
      <c r="B2" s="1" t="s">
        <v>21</v>
      </c>
    </row>
    <row r="3" spans="2:8">
      <c r="B3" s="2" t="s">
        <v>758</v>
      </c>
    </row>
    <row r="5" spans="2:8" ht="26.85">
      <c r="B5" s="5" t="s">
        <v>33</v>
      </c>
      <c r="C5" s="5" t="s">
        <v>34</v>
      </c>
      <c r="D5" s="5" t="s">
        <v>35</v>
      </c>
      <c r="E5" s="5" t="s">
        <v>36</v>
      </c>
      <c r="F5" s="5" t="s">
        <v>37</v>
      </c>
      <c r="G5" s="5" t="s">
        <v>38</v>
      </c>
      <c r="H5" s="5" t="s">
        <v>39</v>
      </c>
    </row>
    <row r="6" spans="2:8">
      <c r="B6" s="6">
        <v>386289</v>
      </c>
      <c r="C6" s="6" t="s">
        <v>759</v>
      </c>
      <c r="D6" s="6" t="s">
        <v>760</v>
      </c>
      <c r="E6" s="18">
        <v>3</v>
      </c>
      <c r="F6" s="15">
        <v>3</v>
      </c>
      <c r="G6" s="15">
        <v>30</v>
      </c>
      <c r="H6" s="15">
        <v>1</v>
      </c>
    </row>
    <row r="7" spans="2:8">
      <c r="B7" s="8">
        <v>385521</v>
      </c>
      <c r="C7" s="8" t="s">
        <v>761</v>
      </c>
      <c r="D7" s="8" t="s">
        <v>762</v>
      </c>
      <c r="E7" s="19">
        <v>2</v>
      </c>
      <c r="F7" s="16">
        <v>2</v>
      </c>
      <c r="G7" s="16">
        <v>30</v>
      </c>
      <c r="H7" s="16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H7"/>
  <sheetViews>
    <sheetView showGridLines="0" zoomScaleNormal="100" workbookViewId="0">
      <pane xSplit="1" ySplit="5" topLeftCell="B6" activePane="bottomRight" state="frozen"/>
      <selection pane="bottomRight"/>
      <selection pane="bottomLeft" activeCell="A6" sqref="A6"/>
      <selection pane="topRight" activeCell="B1" sqref="B1"/>
    </sheetView>
  </sheetViews>
  <sheetFormatPr defaultColWidth="8.7109375" defaultRowHeight="15"/>
  <cols>
    <col min="1" max="1" width="3" customWidth="1"/>
    <col min="2" max="2" width="8" customWidth="1"/>
    <col min="3" max="3" width="55" customWidth="1"/>
    <col min="4" max="4" width="30" customWidth="1"/>
    <col min="5" max="5" width="10" customWidth="1"/>
    <col min="6" max="6" width="12" customWidth="1"/>
    <col min="7" max="7" width="8" customWidth="1"/>
    <col min="8" max="8" width="14" customWidth="1"/>
  </cols>
  <sheetData>
    <row r="2" spans="2:8" ht="17.45">
      <c r="B2" s="1" t="s">
        <v>22</v>
      </c>
    </row>
    <row r="3" spans="2:8">
      <c r="B3" s="2" t="s">
        <v>758</v>
      </c>
    </row>
    <row r="5" spans="2:8" ht="26.85">
      <c r="B5" s="5" t="s">
        <v>33</v>
      </c>
      <c r="C5" s="5" t="s">
        <v>34</v>
      </c>
      <c r="D5" s="5" t="s">
        <v>35</v>
      </c>
      <c r="E5" s="5" t="s">
        <v>36</v>
      </c>
      <c r="F5" s="5" t="s">
        <v>37</v>
      </c>
      <c r="G5" s="5" t="s">
        <v>38</v>
      </c>
      <c r="H5" s="5" t="s">
        <v>39</v>
      </c>
    </row>
    <row r="6" spans="2:8">
      <c r="B6" s="6">
        <v>387154</v>
      </c>
      <c r="C6" s="6" t="s">
        <v>763</v>
      </c>
      <c r="D6" s="6" t="s">
        <v>764</v>
      </c>
      <c r="E6" s="17">
        <v>4</v>
      </c>
      <c r="F6" s="15">
        <v>4</v>
      </c>
      <c r="G6" s="15">
        <v>72</v>
      </c>
      <c r="H6" s="15">
        <v>1</v>
      </c>
    </row>
    <row r="7" spans="2:8">
      <c r="B7" s="8">
        <v>388211</v>
      </c>
      <c r="C7" s="8" t="s">
        <v>765</v>
      </c>
      <c r="D7" s="8" t="s">
        <v>766</v>
      </c>
      <c r="E7" s="18">
        <v>3</v>
      </c>
      <c r="F7" s="16">
        <v>3</v>
      </c>
      <c r="G7" s="16">
        <v>42</v>
      </c>
      <c r="H7" s="16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H6"/>
  <sheetViews>
    <sheetView showGridLines="0" zoomScaleNormal="100" workbookViewId="0">
      <pane xSplit="1" ySplit="5" topLeftCell="B6" activePane="bottomRight" state="frozen"/>
      <selection pane="bottomRight"/>
      <selection pane="bottomLeft" activeCell="A6" sqref="A6"/>
      <selection pane="topRight" activeCell="B1" sqref="B1"/>
    </sheetView>
  </sheetViews>
  <sheetFormatPr defaultColWidth="8.7109375" defaultRowHeight="15"/>
  <cols>
    <col min="1" max="1" width="3" customWidth="1"/>
    <col min="2" max="2" width="8" customWidth="1"/>
    <col min="3" max="3" width="55" customWidth="1"/>
    <col min="4" max="4" width="30" customWidth="1"/>
    <col min="5" max="5" width="10" customWidth="1"/>
    <col min="6" max="6" width="12" customWidth="1"/>
    <col min="7" max="7" width="8" customWidth="1"/>
    <col min="8" max="8" width="14" customWidth="1"/>
  </cols>
  <sheetData>
    <row r="2" spans="2:8" ht="17.45">
      <c r="B2" s="1" t="s">
        <v>23</v>
      </c>
    </row>
    <row r="3" spans="2:8">
      <c r="B3" s="2" t="s">
        <v>767</v>
      </c>
    </row>
    <row r="5" spans="2:8" ht="26.85">
      <c r="B5" s="5" t="s">
        <v>33</v>
      </c>
      <c r="C5" s="5" t="s">
        <v>34</v>
      </c>
      <c r="D5" s="5" t="s">
        <v>35</v>
      </c>
      <c r="E5" s="5" t="s">
        <v>36</v>
      </c>
      <c r="F5" s="5" t="s">
        <v>37</v>
      </c>
      <c r="G5" s="5" t="s">
        <v>38</v>
      </c>
      <c r="H5" s="5" t="s">
        <v>39</v>
      </c>
    </row>
    <row r="6" spans="2:8">
      <c r="B6" s="6">
        <v>388531</v>
      </c>
      <c r="C6" s="6" t="s">
        <v>768</v>
      </c>
      <c r="D6" s="6"/>
      <c r="E6" s="17">
        <v>4</v>
      </c>
      <c r="F6" s="15">
        <v>4</v>
      </c>
      <c r="G6" s="15">
        <v>60</v>
      </c>
      <c r="H6" s="15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Karen Pagh</cp:lastModifiedBy>
  <cp:revision>0</cp:revision>
  <dcterms:created xsi:type="dcterms:W3CDTF">2026-09-03T13:55:35Z</dcterms:created>
  <dcterms:modified xsi:type="dcterms:W3CDTF">2026-09-04T06:39:12Z</dcterms:modified>
  <cp:category/>
  <cp:contentStatus/>
</cp:coreProperties>
</file>